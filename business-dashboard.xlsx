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F:\Data Analysis\Excel\Assignment6\"/>
    </mc:Choice>
  </mc:AlternateContent>
  <xr:revisionPtr revIDLastSave="0" documentId="13_ncr:1_{CF753BB2-3FCB-4648-824B-89D7376452AA}" xr6:coauthVersionLast="47" xr6:coauthVersionMax="47" xr10:uidLastSave="{00000000-0000-0000-0000-000000000000}"/>
  <bookViews>
    <workbookView xWindow="-108" yWindow="-108" windowWidth="23256" windowHeight="12456" firstSheet="1" activeTab="5" xr2:uid="{0B19A6AC-E241-4FCF-BB84-F4E235434671}"/>
  </bookViews>
  <sheets>
    <sheet name="Customers" sheetId="3" r:id="rId1"/>
    <sheet name="Products" sheetId="4" r:id="rId2"/>
    <sheet name="Stores" sheetId="5" r:id="rId3"/>
    <sheet name="Sales_Data" sheetId="2" r:id="rId4"/>
    <sheet name="Pivot_Table" sheetId="8" r:id="rId5"/>
    <sheet name="Dashboard" sheetId="1" r:id="rId6"/>
  </sheets>
  <definedNames>
    <definedName name="_xlcn.WorksheetConnection_Book1customers1" hidden="1">customers[]</definedName>
    <definedName name="_xlcn.WorksheetConnection_Book1Products1" hidden="1">Products[]</definedName>
    <definedName name="_xlcn.WorksheetConnection_Book1sales_data1" hidden="1">sales_data[]</definedName>
    <definedName name="_xlcn.WorksheetConnection_Book1Stores1" hidden="1">Stores[]</definedName>
    <definedName name="ExternalData_1" localSheetId="0" hidden="1">'Customers'!$A$1:$C$11</definedName>
    <definedName name="ExternalData_1" localSheetId="1" hidden="1">Products!$A$1:$D$11</definedName>
    <definedName name="ExternalData_1" localSheetId="3" hidden="1">Sales_Data!$A$1:$G$21</definedName>
    <definedName name="ExternalData_2" localSheetId="2" hidden="1">Stores!$A$1:$C$11</definedName>
    <definedName name="Slicer_Category">#N/A</definedName>
  </definedNames>
  <calcPr calcId="191029"/>
  <pivotCaches>
    <pivotCache cacheId="114" r:id="rId7"/>
    <pivotCache cacheId="117" r:id="rId8"/>
    <pivotCache cacheId="120" r:id="rId9"/>
    <pivotCache cacheId="123" r:id="rId10"/>
    <pivotCache cacheId="126" r:id="rId11"/>
    <pivotCache cacheId="129" r:id="rId12"/>
  </pivotCaches>
  <extLst>
    <ext xmlns:x14="http://schemas.microsoft.com/office/spreadsheetml/2009/9/main" uri="{876F7934-8845-4945-9796-88D515C7AA90}">
      <x14:pivotCaches>
        <pivotCache cacheId="12"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s" name="Stores" connection="WorksheetConnection_Book1!Stores"/>
          <x15:modelTable id="sales_data" name="sales_data" connection="WorksheetConnection_Book1!sales_data"/>
          <x15:modelTable id="Products" name="Products" connection="WorksheetConnection_Book1!Products"/>
          <x15:modelTable id="customers" name="customers" connection="WorksheetConnection_Book1!customers"/>
        </x15:modelTables>
        <x15:modelRelationships>
          <x15:modelRelationship fromTable="sales_data" fromColumn="Customer ID" toTable="customers" toColumn="Customer ID"/>
          <x15:modelRelationship fromTable="sales_data" fromColumn="Product ID" toTable="Products" toColumn="Product ID"/>
          <x15:modelRelationship fromTable="sales_data" fromColumn="Store ID" toTable="Stores" toColumn="Store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4" i="8" l="1"/>
  <c r="T4" i="8"/>
  <c r="S4" i="8"/>
  <c r="R4" i="8"/>
  <c r="B18" i="8"/>
  <c r="C18" i="8" s="1"/>
  <c r="B19" i="8"/>
  <c r="C19" i="8" s="1"/>
  <c r="B20" i="8"/>
  <c r="C20" i="8" s="1"/>
  <c r="B21" i="8"/>
  <c r="C21" i="8" s="1"/>
  <c r="B22" i="8"/>
  <c r="C22" i="8" s="1"/>
  <c r="B23" i="8"/>
  <c r="C23" i="8" s="1"/>
  <c r="B24" i="8"/>
  <c r="C24" i="8" s="1"/>
  <c r="B25" i="8"/>
  <c r="C25" i="8" s="1"/>
  <c r="B26" i="8"/>
  <c r="C26" i="8" s="1"/>
  <c r="B27" i="8"/>
  <c r="C27" i="8" s="1"/>
  <c r="B28" i="8"/>
  <c r="B29" i="8"/>
  <c r="E18" i="8"/>
  <c r="F18" i="8" s="1"/>
  <c r="E19" i="8"/>
  <c r="F19" i="8" s="1"/>
  <c r="E20" i="8"/>
  <c r="F20" i="8" s="1"/>
  <c r="E21" i="8"/>
  <c r="F21" i="8" s="1"/>
  <c r="E22" i="8"/>
  <c r="E2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0B0C7D-2F0B-441A-9087-EA5BDE6DE5F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7D71532E-7868-419C-9A07-FC4C01E374D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D3A228AF-A03F-4778-8283-33D84FA2B814}"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4" xr16:uid="{87784974-2894-4A70-A756-311D5E1B68A2}"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5" xr16:uid="{D6BC1423-0C79-4640-9A2A-3276B97127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9D151898-3741-457D-BE56-AFD81C5C6C49}"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7" xr16:uid="{582EBAF1-B539-4B08-BCB3-7EB1A49A6420}"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 id="8" xr16:uid="{2164103A-BB02-45DC-9576-F57158AA7BA3}" name="WorksheetConnection_Book1!sales_data" type="102" refreshedVersion="8" minRefreshableVersion="5">
    <extLst>
      <ext xmlns:x15="http://schemas.microsoft.com/office/spreadsheetml/2010/11/main" uri="{DE250136-89BD-433C-8126-D09CA5730AF9}">
        <x15:connection id="sales_data">
          <x15:rangePr sourceName="_xlcn.WorksheetConnection_Book1sales_data1"/>
        </x15:connection>
      </ext>
    </extLst>
  </connection>
  <connection id="9" xr16:uid="{E80B7F15-C592-4CDF-A39E-49C61FD44ECC}" name="WorksheetConnection_Book1!Stores" type="102" refreshedVersion="8" minRefreshableVersion="5">
    <extLst>
      <ext xmlns:x15="http://schemas.microsoft.com/office/spreadsheetml/2010/11/main" uri="{DE250136-89BD-433C-8126-D09CA5730AF9}">
        <x15:connection id="Stores">
          <x15:rangePr sourceName="_xlcn.WorksheetConnection_Book1Stores1"/>
        </x15:connection>
      </ext>
    </extLst>
  </connection>
</connections>
</file>

<file path=xl/sharedStrings.xml><?xml version="1.0" encoding="utf-8"?>
<sst xmlns="http://schemas.openxmlformats.org/spreadsheetml/2006/main" count="256" uniqueCount="128">
  <si>
    <t>Order ID</t>
  </si>
  <si>
    <t>Order Date</t>
  </si>
  <si>
    <t>Customer ID</t>
  </si>
  <si>
    <t>Product ID</t>
  </si>
  <si>
    <t>Store ID</t>
  </si>
  <si>
    <t>Quantity</t>
  </si>
  <si>
    <t>Sales Amount</t>
  </si>
  <si>
    <t>ORD-101</t>
  </si>
  <si>
    <t>C001</t>
  </si>
  <si>
    <t>P001</t>
  </si>
  <si>
    <t>S001</t>
  </si>
  <si>
    <t>ORD-102</t>
  </si>
  <si>
    <t>C002</t>
  </si>
  <si>
    <t>P002</t>
  </si>
  <si>
    <t>S002</t>
  </si>
  <si>
    <t>ORD-103</t>
  </si>
  <si>
    <t>C003</t>
  </si>
  <si>
    <t>P005</t>
  </si>
  <si>
    <t>S003</t>
  </si>
  <si>
    <t>ORD-104</t>
  </si>
  <si>
    <t>C004</t>
  </si>
  <si>
    <t>P007</t>
  </si>
  <si>
    <t>S004</t>
  </si>
  <si>
    <t>ORD-105</t>
  </si>
  <si>
    <t>C005</t>
  </si>
  <si>
    <t>P003</t>
  </si>
  <si>
    <t>S005</t>
  </si>
  <si>
    <t>ORD-106</t>
  </si>
  <si>
    <t>C006</t>
  </si>
  <si>
    <t>P006</t>
  </si>
  <si>
    <t>S006</t>
  </si>
  <si>
    <t>ORD-107</t>
  </si>
  <si>
    <t>C007</t>
  </si>
  <si>
    <t>P004</t>
  </si>
  <si>
    <t>S007</t>
  </si>
  <si>
    <t>ORD-108</t>
  </si>
  <si>
    <t>C008</t>
  </si>
  <si>
    <t>P010</t>
  </si>
  <si>
    <t>S008</t>
  </si>
  <si>
    <t>ORD-109</t>
  </si>
  <si>
    <t>C009</t>
  </si>
  <si>
    <t>P009</t>
  </si>
  <si>
    <t>S009</t>
  </si>
  <si>
    <t>ORD-110</t>
  </si>
  <si>
    <t>C010</t>
  </si>
  <si>
    <t>S010</t>
  </si>
  <si>
    <t>ORD-111</t>
  </si>
  <si>
    <t>ORD-112</t>
  </si>
  <si>
    <t>P008</t>
  </si>
  <si>
    <t>ORD-113</t>
  </si>
  <si>
    <t>ORD-114</t>
  </si>
  <si>
    <t>ORD-115</t>
  </si>
  <si>
    <t>ORD-116</t>
  </si>
  <si>
    <t>ORD-117</t>
  </si>
  <si>
    <t>ORD-118</t>
  </si>
  <si>
    <t>ORD-119</t>
  </si>
  <si>
    <t>ORD-120</t>
  </si>
  <si>
    <t>Customer Name</t>
  </si>
  <si>
    <t>Region</t>
  </si>
  <si>
    <t>John Smith</t>
  </si>
  <si>
    <t>North</t>
  </si>
  <si>
    <t>Sarah Connor</t>
  </si>
  <si>
    <t>South</t>
  </si>
  <si>
    <t>Mike Ross</t>
  </si>
  <si>
    <t>East</t>
  </si>
  <si>
    <t>Jessica Pearson</t>
  </si>
  <si>
    <t>West</t>
  </si>
  <si>
    <t>Harvey Specter</t>
  </si>
  <si>
    <t>Donna Paulsen</t>
  </si>
  <si>
    <t>Louis Litt</t>
  </si>
  <si>
    <t>Rachel Zane</t>
  </si>
  <si>
    <t>Robert Zane</t>
  </si>
  <si>
    <t>Katrina Bennett</t>
  </si>
  <si>
    <t>Product Name</t>
  </si>
  <si>
    <t>Category</t>
  </si>
  <si>
    <t>Unit Cost</t>
  </si>
  <si>
    <t>Laptop</t>
  </si>
  <si>
    <t>Electronics</t>
  </si>
  <si>
    <t>Smartphone</t>
  </si>
  <si>
    <t>Tablet</t>
  </si>
  <si>
    <t>Monitor</t>
  </si>
  <si>
    <t>Office Chair</t>
  </si>
  <si>
    <t>Furniture</t>
  </si>
  <si>
    <t>Standing Desk</t>
  </si>
  <si>
    <t>Notebook</t>
  </si>
  <si>
    <t>Stationery</t>
  </si>
  <si>
    <t>Pen Set</t>
  </si>
  <si>
    <t>Backpack</t>
  </si>
  <si>
    <t>Accessories</t>
  </si>
  <si>
    <t>Wireless Mouse</t>
  </si>
  <si>
    <t>Store Name</t>
  </si>
  <si>
    <t>City</t>
  </si>
  <si>
    <t>Downtown Store</t>
  </si>
  <si>
    <t>New York</t>
  </si>
  <si>
    <t>Westside Mall</t>
  </si>
  <si>
    <t>Los Angeles</t>
  </si>
  <si>
    <t>Windy City Hub</t>
  </si>
  <si>
    <t>Chicago</t>
  </si>
  <si>
    <t>Space City Outlet</t>
  </si>
  <si>
    <t>Houston</t>
  </si>
  <si>
    <t>Metro Center</t>
  </si>
  <si>
    <t>Phoenix</t>
  </si>
  <si>
    <t>Liberty Branch</t>
  </si>
  <si>
    <t>Philadelphia</t>
  </si>
  <si>
    <t>Alamo Store</t>
  </si>
  <si>
    <t>San Antonio</t>
  </si>
  <si>
    <t>Mission Branch</t>
  </si>
  <si>
    <t>San Diego</t>
  </si>
  <si>
    <t>Big D Store</t>
  </si>
  <si>
    <t>Dallas</t>
  </si>
  <si>
    <t>Capitol Outlet</t>
  </si>
  <si>
    <t>Austin</t>
  </si>
  <si>
    <t>Row Labels</t>
  </si>
  <si>
    <t>Grand Total</t>
  </si>
  <si>
    <t>Total Sales</t>
  </si>
  <si>
    <t>Total Cost</t>
  </si>
  <si>
    <t>Total Profit</t>
  </si>
  <si>
    <t>Profit Percentage</t>
  </si>
  <si>
    <t>Profit Percemtage</t>
  </si>
  <si>
    <t>Product</t>
  </si>
  <si>
    <t>OTDATA("[Measures].[Total Sales]",$G$3)</t>
  </si>
  <si>
    <t>Percentage</t>
  </si>
  <si>
    <t>Sum</t>
  </si>
  <si>
    <t>Average</t>
  </si>
  <si>
    <t>Running Total</t>
  </si>
  <si>
    <t>Count</t>
  </si>
  <si>
    <t>Updated</t>
  </si>
  <si>
    <t>16-10-2026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</si>
</sst>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0"/>
      <name val="Aptos Narrow"/>
      <family val="2"/>
      <scheme val="minor"/>
    </font>
    <font>
      <sz val="11"/>
      <color theme="1"/>
      <name val="Aptos Narrow"/>
      <family val="2"/>
      <scheme val="minor"/>
    </font>
    <font>
      <b/>
      <sz val="11"/>
      <color theme="1"/>
      <name val="Aptos Narrow"/>
      <family val="2"/>
      <scheme val="minor"/>
    </font>
    <font>
      <sz val="11"/>
      <color theme="2"/>
      <name val="Aptos Narrow"/>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Fill="1"/>
    <xf numFmtId="0" fontId="0" fillId="0" borderId="0" xfId="0" applyFill="1"/>
    <xf numFmtId="0" fontId="0" fillId="2" borderId="0" xfId="0" applyFill="1"/>
    <xf numFmtId="9" fontId="0" fillId="0" borderId="0" xfId="0" applyNumberFormat="1"/>
    <xf numFmtId="10" fontId="3" fillId="0" borderId="0" xfId="0" applyNumberFormat="1" applyFont="1"/>
    <xf numFmtId="0" fontId="4" fillId="2" borderId="0" xfId="0" applyFont="1" applyFill="1"/>
    <xf numFmtId="9" fontId="4" fillId="2" borderId="0" xfId="1" applyFont="1" applyFill="1"/>
    <xf numFmtId="0" fontId="0" fillId="0" borderId="0" xfId="0" applyNumberFormat="1"/>
  </cellXfs>
  <cellStyles count="2">
    <cellStyle name="Normal" xfId="0" builtinId="0"/>
    <cellStyle name="Percent" xfId="1" builtinId="5"/>
  </cellStyles>
  <dxfs count="23">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calcChain" Target="calcChain.xml"/><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Total Sales</a:t>
            </a:r>
          </a:p>
        </c:rich>
      </c:tx>
      <c:layout>
        <c:manualLayout>
          <c:xMode val="edge"/>
          <c:yMode val="edge"/>
          <c:x val="0.2686159844054580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65921787709494E-2"/>
          <c:y val="0.22236211031175063"/>
          <c:w val="0.89757914338919931"/>
          <c:h val="0.17886336600011329"/>
        </c:manualLayout>
      </c:layout>
      <c:pie3DChart>
        <c:varyColors val="1"/>
        <c:ser>
          <c:idx val="0"/>
          <c:order val="0"/>
          <c:tx>
            <c:strRef>
              <c:f>Pivot_Table!$B$17</c:f>
              <c:strCache>
                <c:ptCount val="1"/>
                <c:pt idx="0">
                  <c:v>Total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360-4C1E-9936-E20DB8FA20A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360-4C1E-9936-E20DB8FA20A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360-4C1E-9936-E20DB8FA20A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360-4C1E-9936-E20DB8FA20A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360-4C1E-9936-E20DB8FA20A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360-4C1E-9936-E20DB8FA20A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360-4C1E-9936-E20DB8FA20A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360-4C1E-9936-E20DB8FA20A8}"/>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360-4C1E-9936-E20DB8FA20A8}"/>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360-4C1E-9936-E20DB8FA20A8}"/>
              </c:ext>
            </c:extLst>
          </c:dPt>
          <c:cat>
            <c:strRef>
              <c:f>Pivot_Table!$A$18:$A$27</c:f>
              <c:strCache>
                <c:ptCount val="10"/>
                <c:pt idx="0">
                  <c:v>Backpack</c:v>
                </c:pt>
                <c:pt idx="1">
                  <c:v>Laptop</c:v>
                </c:pt>
                <c:pt idx="2">
                  <c:v>Monitor</c:v>
                </c:pt>
                <c:pt idx="3">
                  <c:v>Notebook</c:v>
                </c:pt>
                <c:pt idx="4">
                  <c:v>Office Chair</c:v>
                </c:pt>
                <c:pt idx="5">
                  <c:v>Pen Set</c:v>
                </c:pt>
                <c:pt idx="6">
                  <c:v>Smartphone</c:v>
                </c:pt>
                <c:pt idx="7">
                  <c:v>Standing Desk</c:v>
                </c:pt>
                <c:pt idx="8">
                  <c:v>Tablet</c:v>
                </c:pt>
                <c:pt idx="9">
                  <c:v>Wireless Mouse</c:v>
                </c:pt>
              </c:strCache>
            </c:strRef>
          </c:cat>
          <c:val>
            <c:numRef>
              <c:f>Pivot_Table!$B$18:$B$27</c:f>
              <c:numCache>
                <c:formatCode>General</c:formatCode>
                <c:ptCount val="10"/>
                <c:pt idx="0">
                  <c:v>162</c:v>
                </c:pt>
                <c:pt idx="1">
                  <c:v>3840</c:v>
                </c:pt>
                <c:pt idx="2">
                  <c:v>1440</c:v>
                </c:pt>
                <c:pt idx="3">
                  <c:v>195</c:v>
                </c:pt>
                <c:pt idx="4">
                  <c:v>900</c:v>
                </c:pt>
                <c:pt idx="5">
                  <c:v>96</c:v>
                </c:pt>
                <c:pt idx="6">
                  <c:v>4800</c:v>
                </c:pt>
                <c:pt idx="7">
                  <c:v>1260</c:v>
                </c:pt>
                <c:pt idx="8">
                  <c:v>2250</c:v>
                </c:pt>
                <c:pt idx="9">
                  <c:v>330</c:v>
                </c:pt>
              </c:numCache>
            </c:numRef>
          </c:val>
          <c:extLst>
            <c:ext xmlns:c16="http://schemas.microsoft.com/office/drawing/2014/chart" uri="{C3380CC4-5D6E-409C-BE32-E72D297353CC}">
              <c16:uniqueId val="{00000014-9360-4C1E-9936-E20DB8FA20A8}"/>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Total</a:t>
            </a:r>
            <a:r>
              <a:rPr lang="en-US" sz="20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 Sales</a:t>
            </a:r>
            <a:endParaRPr lang="en-US" sz="20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c:rich>
      </c:tx>
      <c:layout>
        <c:manualLayout>
          <c:xMode val="edge"/>
          <c:yMode val="edge"/>
          <c:x val="0.24305084745762712"/>
          <c:y val="5.7291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1"/>
          <c:order val="1"/>
          <c:tx>
            <c:strRef>
              <c:f>Pivot_Table!$F$17</c:f>
              <c:strCache>
                <c:ptCount val="1"/>
                <c:pt idx="0">
                  <c:v>Percentage</c:v>
                </c:pt>
              </c:strCache>
            </c:strRef>
          </c:tx>
          <c:spPr>
            <a:solidFill>
              <a:schemeClr val="accent1"/>
            </a:solidFill>
            <a:ln>
              <a:noFill/>
            </a:ln>
            <a:effectLst/>
            <a:sp3d/>
          </c:spPr>
          <c:invertIfNegative val="0"/>
          <c:cat>
            <c:strRef>
              <c:f>Pivot_Table!$D$18:$D$21</c:f>
              <c:strCache>
                <c:ptCount val="4"/>
                <c:pt idx="0">
                  <c:v>East</c:v>
                </c:pt>
                <c:pt idx="1">
                  <c:v>North</c:v>
                </c:pt>
                <c:pt idx="2">
                  <c:v>South</c:v>
                </c:pt>
                <c:pt idx="3">
                  <c:v>West</c:v>
                </c:pt>
              </c:strCache>
            </c:strRef>
          </c:cat>
          <c:val>
            <c:numRef>
              <c:f>Pivot_Table!$F$18:$F$21</c:f>
              <c:numCache>
                <c:formatCode>0.00%</c:formatCode>
                <c:ptCount val="4"/>
                <c:pt idx="0">
                  <c:v>0.16735415439010018</c:v>
                </c:pt>
                <c:pt idx="1">
                  <c:v>0.31899430367314868</c:v>
                </c:pt>
                <c:pt idx="2">
                  <c:v>0.43409939108230211</c:v>
                </c:pt>
                <c:pt idx="3">
                  <c:v>7.9552150854449027E-2</c:v>
                </c:pt>
              </c:numCache>
            </c:numRef>
          </c:val>
          <c:shape val="cylinder"/>
          <c:extLst>
            <c:ext xmlns:c16="http://schemas.microsoft.com/office/drawing/2014/chart" uri="{C3380CC4-5D6E-409C-BE32-E72D297353CC}">
              <c16:uniqueId val="{00000000-8A1A-4C1A-A9F6-D2E8FAE6DCA3}"/>
            </c:ext>
          </c:extLst>
        </c:ser>
        <c:dLbls>
          <c:showLegendKey val="0"/>
          <c:showVal val="0"/>
          <c:showCatName val="0"/>
          <c:showSerName val="0"/>
          <c:showPercent val="0"/>
          <c:showBubbleSize val="0"/>
        </c:dLbls>
        <c:gapWidth val="150"/>
        <c:shape val="box"/>
        <c:axId val="221207312"/>
        <c:axId val="1644304208"/>
        <c:axId val="1517743856"/>
        <c:extLst>
          <c:ext xmlns:c15="http://schemas.microsoft.com/office/drawing/2012/chart" uri="{02D57815-91ED-43cb-92C2-25804820EDAC}">
            <c15:filteredBarSeries>
              <c15:ser>
                <c:idx val="0"/>
                <c:order val="0"/>
                <c:tx>
                  <c:strRef>
                    <c:extLst>
                      <c:ext uri="{02D57815-91ED-43cb-92C2-25804820EDAC}">
                        <c15:formulaRef>
                          <c15:sqref>Pivot_Table!$E$17</c15:sqref>
                        </c15:formulaRef>
                      </c:ext>
                    </c:extLst>
                    <c:strCache>
                      <c:ptCount val="1"/>
                      <c:pt idx="0">
                        <c:v>Total Sales</c:v>
                      </c:pt>
                    </c:strCache>
                  </c:strRef>
                </c:tx>
                <c:spPr>
                  <a:solidFill>
                    <a:schemeClr val="accent1"/>
                  </a:solidFill>
                  <a:ln>
                    <a:noFill/>
                  </a:ln>
                  <a:effectLst/>
                  <a:sp3d/>
                </c:spPr>
                <c:invertIfNegative val="0"/>
                <c:cat>
                  <c:strRef>
                    <c:extLst>
                      <c:ext uri="{02D57815-91ED-43cb-92C2-25804820EDAC}">
                        <c15:formulaRef>
                          <c15:sqref>Pivot_Table!$D$18:$D$21</c15:sqref>
                        </c15:formulaRef>
                      </c:ext>
                    </c:extLst>
                    <c:strCache>
                      <c:ptCount val="4"/>
                      <c:pt idx="0">
                        <c:v>East</c:v>
                      </c:pt>
                      <c:pt idx="1">
                        <c:v>North</c:v>
                      </c:pt>
                      <c:pt idx="2">
                        <c:v>South</c:v>
                      </c:pt>
                      <c:pt idx="3">
                        <c:v>West</c:v>
                      </c:pt>
                    </c:strCache>
                  </c:strRef>
                </c:cat>
                <c:val>
                  <c:numRef>
                    <c:extLst>
                      <c:ext uri="{02D57815-91ED-43cb-92C2-25804820EDAC}">
                        <c15:formulaRef>
                          <c15:sqref>Pivot_Table!$E$18:$E$21</c15:sqref>
                        </c15:formulaRef>
                      </c:ext>
                    </c:extLst>
                    <c:numCache>
                      <c:formatCode>General</c:formatCode>
                      <c:ptCount val="4"/>
                      <c:pt idx="0">
                        <c:v>2556</c:v>
                      </c:pt>
                      <c:pt idx="1">
                        <c:v>4872</c:v>
                      </c:pt>
                      <c:pt idx="2">
                        <c:v>6630</c:v>
                      </c:pt>
                      <c:pt idx="3">
                        <c:v>1215</c:v>
                      </c:pt>
                    </c:numCache>
                  </c:numRef>
                </c:val>
                <c:extLst>
                  <c:ext xmlns:c16="http://schemas.microsoft.com/office/drawing/2014/chart" uri="{C3380CC4-5D6E-409C-BE32-E72D297353CC}">
                    <c16:uniqueId val="{00000001-8A1A-4C1A-A9F6-D2E8FAE6DCA3}"/>
                  </c:ext>
                </c:extLst>
              </c15:ser>
            </c15:filteredBarSeries>
          </c:ext>
        </c:extLst>
      </c:bar3DChart>
      <c:catAx>
        <c:axId val="221207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04208"/>
        <c:crosses val="autoZero"/>
        <c:auto val="1"/>
        <c:lblAlgn val="ctr"/>
        <c:lblOffset val="100"/>
        <c:noMultiLvlLbl val="0"/>
      </c:catAx>
      <c:valAx>
        <c:axId val="1644304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07312"/>
        <c:crosses val="autoZero"/>
        <c:crossBetween val="between"/>
      </c:valAx>
      <c:serAx>
        <c:axId val="15177438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04208"/>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365760</xdr:colOff>
      <xdr:row>1</xdr:row>
      <xdr:rowOff>129540</xdr:rowOff>
    </xdr:from>
    <xdr:to>
      <xdr:col>17</xdr:col>
      <xdr:colOff>236220</xdr:colOff>
      <xdr:row>6</xdr:row>
      <xdr:rowOff>129540</xdr:rowOff>
    </xdr:to>
    <xdr:sp macro="" textlink="">
      <xdr:nvSpPr>
        <xdr:cNvPr id="2" name="Rectangle: Rounded Corners 1">
          <a:extLst>
            <a:ext uri="{FF2B5EF4-FFF2-40B4-BE49-F238E27FC236}">
              <a16:creationId xmlns:a16="http://schemas.microsoft.com/office/drawing/2014/main" id="{B494C0BA-A58D-CB00-4D2A-BFFC372D58E0}"/>
            </a:ext>
          </a:extLst>
        </xdr:cNvPr>
        <xdr:cNvSpPr/>
      </xdr:nvSpPr>
      <xdr:spPr>
        <a:xfrm>
          <a:off x="365760" y="312420"/>
          <a:ext cx="10233660" cy="914400"/>
        </a:xfrm>
        <a:prstGeom prst="roundRect">
          <a:avLst/>
        </a:prstGeom>
        <a:solidFill>
          <a:schemeClr val="accent1">
            <a:lumMod val="20000"/>
            <a:lumOff val="80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AUTOMATED BUSINESS DASHBOARD</a:t>
          </a:r>
        </a:p>
      </xdr:txBody>
    </xdr:sp>
    <xdr:clientData/>
  </xdr:twoCellAnchor>
  <xdr:twoCellAnchor>
    <xdr:from>
      <xdr:col>0</xdr:col>
      <xdr:colOff>365760</xdr:colOff>
      <xdr:row>7</xdr:row>
      <xdr:rowOff>121920</xdr:rowOff>
    </xdr:from>
    <xdr:to>
      <xdr:col>5</xdr:col>
      <xdr:colOff>205740</xdr:colOff>
      <xdr:row>26</xdr:row>
      <xdr:rowOff>106680</xdr:rowOff>
    </xdr:to>
    <xdr:sp macro="" textlink="">
      <xdr:nvSpPr>
        <xdr:cNvPr id="3" name="Rectangle: Rounded Corners 2">
          <a:extLst>
            <a:ext uri="{FF2B5EF4-FFF2-40B4-BE49-F238E27FC236}">
              <a16:creationId xmlns:a16="http://schemas.microsoft.com/office/drawing/2014/main" id="{B8B3C366-639E-0EA0-1A6F-6E47015D1816}"/>
            </a:ext>
          </a:extLst>
        </xdr:cNvPr>
        <xdr:cNvSpPr/>
      </xdr:nvSpPr>
      <xdr:spPr>
        <a:xfrm>
          <a:off x="365760" y="1402080"/>
          <a:ext cx="2887980" cy="3459480"/>
        </a:xfrm>
        <a:prstGeom prst="roundRect">
          <a:avLst/>
        </a:prstGeom>
        <a:solidFill>
          <a:schemeClr val="accent1">
            <a:lumMod val="20000"/>
            <a:lumOff val="80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144780</xdr:colOff>
      <xdr:row>15</xdr:row>
      <xdr:rowOff>160020</xdr:rowOff>
    </xdr:from>
    <xdr:to>
      <xdr:col>12</xdr:col>
      <xdr:colOff>502920</xdr:colOff>
      <xdr:row>30</xdr:row>
      <xdr:rowOff>7620</xdr:rowOff>
    </xdr:to>
    <xdr:sp macro="" textlink="">
      <xdr:nvSpPr>
        <xdr:cNvPr id="4" name="Rectangle: Rounded Corners 3">
          <a:extLst>
            <a:ext uri="{FF2B5EF4-FFF2-40B4-BE49-F238E27FC236}">
              <a16:creationId xmlns:a16="http://schemas.microsoft.com/office/drawing/2014/main" id="{134C41CB-E11C-CC44-3F60-B5641EEAD7CC}"/>
            </a:ext>
          </a:extLst>
        </xdr:cNvPr>
        <xdr:cNvSpPr/>
      </xdr:nvSpPr>
      <xdr:spPr>
        <a:xfrm>
          <a:off x="5021580" y="2903220"/>
          <a:ext cx="2796540" cy="2590800"/>
        </a:xfrm>
        <a:prstGeom prst="roundRect">
          <a:avLst/>
        </a:prstGeom>
        <a:solidFill>
          <a:schemeClr val="accent1">
            <a:lumMod val="20000"/>
            <a:lumOff val="80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350520</xdr:colOff>
      <xdr:row>27</xdr:row>
      <xdr:rowOff>53340</xdr:rowOff>
    </xdr:from>
    <xdr:to>
      <xdr:col>7</xdr:col>
      <xdr:colOff>434340</xdr:colOff>
      <xdr:row>30</xdr:row>
      <xdr:rowOff>0</xdr:rowOff>
    </xdr:to>
    <xdr:sp macro="" textlink="">
      <xdr:nvSpPr>
        <xdr:cNvPr id="5" name="Rectangle: Rounded Corners 4">
          <a:extLst>
            <a:ext uri="{FF2B5EF4-FFF2-40B4-BE49-F238E27FC236}">
              <a16:creationId xmlns:a16="http://schemas.microsoft.com/office/drawing/2014/main" id="{E625D4B2-297F-6C3B-0C0C-7FEF4FF9C88F}"/>
            </a:ext>
          </a:extLst>
        </xdr:cNvPr>
        <xdr:cNvSpPr/>
      </xdr:nvSpPr>
      <xdr:spPr>
        <a:xfrm>
          <a:off x="350520" y="4991100"/>
          <a:ext cx="4351020" cy="495300"/>
        </a:xfrm>
        <a:prstGeom prst="roundRect">
          <a:avLst/>
        </a:prstGeom>
        <a:solidFill>
          <a:schemeClr val="accent1">
            <a:lumMod val="20000"/>
            <a:lumOff val="80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solidFill>
                <a:schemeClr val="accent1"/>
              </a:solidFill>
              <a:latin typeface="Aptos Narrow" panose="020B0004020202020204" pitchFamily="34" charset="0"/>
              <a:ea typeface="+mn-ea"/>
              <a:cs typeface="+mn-cs"/>
            </a:rPr>
            <a:t>by</a:t>
          </a:r>
          <a:r>
            <a:rPr lang="en-US" sz="2000" baseline="0">
              <a:solidFill>
                <a:schemeClr val="accent1"/>
              </a:solidFill>
              <a:latin typeface="Algerian" panose="04020705040A02060702" pitchFamily="82" charset="0"/>
              <a:ea typeface="+mn-ea"/>
              <a:cs typeface="+mn-cs"/>
            </a:rPr>
            <a:t> ARNAB SAHA</a:t>
          </a:r>
          <a:endParaRPr lang="en-US" sz="2000">
            <a:solidFill>
              <a:schemeClr val="accent1"/>
            </a:solidFill>
            <a:latin typeface="Algerian" panose="04020705040A02060702" pitchFamily="82" charset="0"/>
            <a:ea typeface="+mn-ea"/>
            <a:cs typeface="+mn-cs"/>
          </a:endParaRPr>
        </a:p>
      </xdr:txBody>
    </xdr:sp>
    <xdr:clientData/>
  </xdr:twoCellAnchor>
  <xdr:twoCellAnchor>
    <xdr:from>
      <xdr:col>5</xdr:col>
      <xdr:colOff>365760</xdr:colOff>
      <xdr:row>7</xdr:row>
      <xdr:rowOff>60960</xdr:rowOff>
    </xdr:from>
    <xdr:to>
      <xdr:col>7</xdr:col>
      <xdr:colOff>495300</xdr:colOff>
      <xdr:row>15</xdr:row>
      <xdr:rowOff>68580</xdr:rowOff>
    </xdr:to>
    <xdr:sp macro="" textlink="">
      <xdr:nvSpPr>
        <xdr:cNvPr id="6" name="Rectangle: Single Corner Snipped 5">
          <a:extLst>
            <a:ext uri="{FF2B5EF4-FFF2-40B4-BE49-F238E27FC236}">
              <a16:creationId xmlns:a16="http://schemas.microsoft.com/office/drawing/2014/main" id="{5BB7A1BB-488C-CE98-F157-016654D00686}"/>
            </a:ext>
          </a:extLst>
        </xdr:cNvPr>
        <xdr:cNvSpPr/>
      </xdr:nvSpPr>
      <xdr:spPr>
        <a:xfrm>
          <a:off x="3413760" y="1341120"/>
          <a:ext cx="1348740" cy="1470660"/>
        </a:xfrm>
        <a:prstGeom prst="snip1Rect">
          <a:avLst/>
        </a:prstGeom>
        <a:solidFill>
          <a:schemeClr val="accent1">
            <a:lumMod val="20000"/>
            <a:lumOff val="80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457200" lvl="1" indent="0" algn="r"/>
          <a:endParaRPr lang="en-US" sz="1800">
            <a:solidFill>
              <a:schemeClr val="lt1"/>
            </a:solidFill>
            <a:latin typeface="+mn-lt"/>
            <a:ea typeface="+mn-ea"/>
            <a:cs typeface="+mn-cs"/>
          </a:endParaRPr>
        </a:p>
      </xdr:txBody>
    </xdr:sp>
    <xdr:clientData/>
  </xdr:twoCellAnchor>
  <xdr:twoCellAnchor>
    <xdr:from>
      <xdr:col>8</xdr:col>
      <xdr:colOff>142240</xdr:colOff>
      <xdr:row>7</xdr:row>
      <xdr:rowOff>60959</xdr:rowOff>
    </xdr:from>
    <xdr:to>
      <xdr:col>11</xdr:col>
      <xdr:colOff>152400</xdr:colOff>
      <xdr:row>14</xdr:row>
      <xdr:rowOff>116806</xdr:rowOff>
    </xdr:to>
    <xdr:sp macro="" textlink="">
      <xdr:nvSpPr>
        <xdr:cNvPr id="7" name="Rectangle: Top Corners One Rounded and One Snipped 6">
          <a:extLst>
            <a:ext uri="{FF2B5EF4-FFF2-40B4-BE49-F238E27FC236}">
              <a16:creationId xmlns:a16="http://schemas.microsoft.com/office/drawing/2014/main" id="{D9CD0327-3A96-401D-5B20-7BADE61913CD}"/>
            </a:ext>
          </a:extLst>
        </xdr:cNvPr>
        <xdr:cNvSpPr/>
      </xdr:nvSpPr>
      <xdr:spPr>
        <a:xfrm rot="5400000" flipV="1">
          <a:off x="5270516" y="1089643"/>
          <a:ext cx="1336007" cy="1838960"/>
        </a:xfrm>
        <a:prstGeom prst="snipRoundRect">
          <a:avLst/>
        </a:prstGeom>
        <a:solidFill>
          <a:schemeClr val="accent1">
            <a:lumMod val="20000"/>
            <a:lumOff val="80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375920</xdr:colOff>
      <xdr:row>7</xdr:row>
      <xdr:rowOff>60960</xdr:rowOff>
    </xdr:from>
    <xdr:to>
      <xdr:col>14</xdr:col>
      <xdr:colOff>373380</xdr:colOff>
      <xdr:row>14</xdr:row>
      <xdr:rowOff>150630</xdr:rowOff>
    </xdr:to>
    <xdr:sp macro="" textlink="">
      <xdr:nvSpPr>
        <xdr:cNvPr id="9" name="Rectangle: Rounded Corners 8">
          <a:extLst>
            <a:ext uri="{FF2B5EF4-FFF2-40B4-BE49-F238E27FC236}">
              <a16:creationId xmlns:a16="http://schemas.microsoft.com/office/drawing/2014/main" id="{F7CB2210-1B4E-8C06-6B2E-FCAD50CB16B6}"/>
            </a:ext>
          </a:extLst>
        </xdr:cNvPr>
        <xdr:cNvSpPr/>
      </xdr:nvSpPr>
      <xdr:spPr>
        <a:xfrm>
          <a:off x="7081520" y="1341120"/>
          <a:ext cx="1826260" cy="1369830"/>
        </a:xfrm>
        <a:prstGeom prst="roundRect">
          <a:avLst/>
        </a:prstGeom>
        <a:solidFill>
          <a:schemeClr val="accent1">
            <a:lumMod val="20000"/>
            <a:lumOff val="80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365760</xdr:colOff>
      <xdr:row>16</xdr:row>
      <xdr:rowOff>160020</xdr:rowOff>
    </xdr:from>
    <xdr:to>
      <xdr:col>7</xdr:col>
      <xdr:colOff>449580</xdr:colOff>
      <xdr:row>26</xdr:row>
      <xdr:rowOff>38100</xdr:rowOff>
    </xdr:to>
    <xdr:sp macro="" textlink="">
      <xdr:nvSpPr>
        <xdr:cNvPr id="10" name="Rectangle: Single Corner Snipped 9">
          <a:extLst>
            <a:ext uri="{FF2B5EF4-FFF2-40B4-BE49-F238E27FC236}">
              <a16:creationId xmlns:a16="http://schemas.microsoft.com/office/drawing/2014/main" id="{073A3AB1-50F9-3EF1-CF98-4B8092C46E8D}"/>
            </a:ext>
          </a:extLst>
        </xdr:cNvPr>
        <xdr:cNvSpPr/>
      </xdr:nvSpPr>
      <xdr:spPr>
        <a:xfrm>
          <a:off x="3413760" y="3086100"/>
          <a:ext cx="1303020" cy="1706880"/>
        </a:xfrm>
        <a:prstGeom prst="snip1Rect">
          <a:avLst/>
        </a:prstGeom>
        <a:solidFill>
          <a:schemeClr val="accent1">
            <a:lumMod val="20000"/>
            <a:lumOff val="80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403860</xdr:colOff>
      <xdr:row>7</xdr:row>
      <xdr:rowOff>175260</xdr:rowOff>
    </xdr:from>
    <xdr:to>
      <xdr:col>6</xdr:col>
      <xdr:colOff>464820</xdr:colOff>
      <xdr:row>10</xdr:row>
      <xdr:rowOff>106680</xdr:rowOff>
    </xdr:to>
    <xdr:sp macro="" textlink="">
      <xdr:nvSpPr>
        <xdr:cNvPr id="12" name="TextBox 11">
          <a:extLst>
            <a:ext uri="{FF2B5EF4-FFF2-40B4-BE49-F238E27FC236}">
              <a16:creationId xmlns:a16="http://schemas.microsoft.com/office/drawing/2014/main" id="{52E27D6B-2502-AEF3-52E7-1B6F3C0A3CE7}"/>
            </a:ext>
          </a:extLst>
        </xdr:cNvPr>
        <xdr:cNvSpPr txBox="1"/>
      </xdr:nvSpPr>
      <xdr:spPr>
        <a:xfrm>
          <a:off x="3451860" y="1455420"/>
          <a:ext cx="67056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cap="none" spc="0">
              <a:ln w="0"/>
              <a:solidFill>
                <a:schemeClr val="tx2"/>
              </a:solidFill>
              <a:effectLst>
                <a:outerShdw blurRad="38100" dist="19050" dir="2700000" algn="tl" rotWithShape="0">
                  <a:schemeClr val="dk1">
                    <a:alpha val="40000"/>
                  </a:schemeClr>
                </a:outerShdw>
              </a:effectLst>
              <a:latin typeface="Bahnschrift" panose="020B0502040204020203" pitchFamily="34" charset="0"/>
            </a:rPr>
            <a:t>TOTAL</a:t>
          </a:r>
        </a:p>
        <a:p>
          <a:pPr algn="ctr"/>
          <a:r>
            <a:rPr lang="en-US" sz="1200" b="1" cap="none" spc="0">
              <a:ln w="0"/>
              <a:solidFill>
                <a:schemeClr val="tx2"/>
              </a:solidFill>
              <a:effectLst>
                <a:outerShdw blurRad="38100" dist="19050" dir="2700000" algn="tl" rotWithShape="0">
                  <a:schemeClr val="dk1">
                    <a:alpha val="40000"/>
                  </a:schemeClr>
                </a:outerShdw>
              </a:effectLst>
              <a:latin typeface="Bahnschrift" panose="020B0502040204020203" pitchFamily="34" charset="0"/>
            </a:rPr>
            <a:t>SALES</a:t>
          </a:r>
        </a:p>
      </xdr:txBody>
    </xdr:sp>
    <xdr:clientData/>
  </xdr:twoCellAnchor>
  <xdr:twoCellAnchor>
    <xdr:from>
      <xdr:col>10</xdr:col>
      <xdr:colOff>83820</xdr:colOff>
      <xdr:row>7</xdr:row>
      <xdr:rowOff>160020</xdr:rowOff>
    </xdr:from>
    <xdr:to>
      <xdr:col>11</xdr:col>
      <xdr:colOff>106680</xdr:colOff>
      <xdr:row>10</xdr:row>
      <xdr:rowOff>76200</xdr:rowOff>
    </xdr:to>
    <xdr:sp macro="" textlink="">
      <xdr:nvSpPr>
        <xdr:cNvPr id="13" name="TextBox 12">
          <a:extLst>
            <a:ext uri="{FF2B5EF4-FFF2-40B4-BE49-F238E27FC236}">
              <a16:creationId xmlns:a16="http://schemas.microsoft.com/office/drawing/2014/main" id="{33B625C5-B575-21A1-DF30-DF5B4EDF06FF}"/>
            </a:ext>
          </a:extLst>
        </xdr:cNvPr>
        <xdr:cNvSpPr txBox="1"/>
      </xdr:nvSpPr>
      <xdr:spPr>
        <a:xfrm>
          <a:off x="6179820" y="1440180"/>
          <a:ext cx="6324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solidFill>
              <a:latin typeface="Bahnschrift" panose="020B0502040204020203" pitchFamily="34" charset="0"/>
            </a:rPr>
            <a:t>TOTAL COST</a:t>
          </a:r>
        </a:p>
      </xdr:txBody>
    </xdr:sp>
    <xdr:clientData/>
  </xdr:twoCellAnchor>
  <xdr:twoCellAnchor>
    <xdr:from>
      <xdr:col>11</xdr:col>
      <xdr:colOff>480060</xdr:colOff>
      <xdr:row>7</xdr:row>
      <xdr:rowOff>167640</xdr:rowOff>
    </xdr:from>
    <xdr:to>
      <xdr:col>12</xdr:col>
      <xdr:colOff>556260</xdr:colOff>
      <xdr:row>10</xdr:row>
      <xdr:rowOff>91440</xdr:rowOff>
    </xdr:to>
    <xdr:sp macro="" textlink="">
      <xdr:nvSpPr>
        <xdr:cNvPr id="14" name="TextBox 13">
          <a:extLst>
            <a:ext uri="{FF2B5EF4-FFF2-40B4-BE49-F238E27FC236}">
              <a16:creationId xmlns:a16="http://schemas.microsoft.com/office/drawing/2014/main" id="{A9E9DA6E-3514-16E0-CE3C-2E838696A7A9}"/>
            </a:ext>
          </a:extLst>
        </xdr:cNvPr>
        <xdr:cNvSpPr txBox="1"/>
      </xdr:nvSpPr>
      <xdr:spPr>
        <a:xfrm>
          <a:off x="7185660" y="1447800"/>
          <a:ext cx="68580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solidFill>
              <a:latin typeface="Bahnschrift" panose="020B0502040204020203" pitchFamily="34" charset="0"/>
            </a:rPr>
            <a:t>TOTAL</a:t>
          </a:r>
        </a:p>
        <a:p>
          <a:r>
            <a:rPr lang="en-US" sz="1200" b="1">
              <a:solidFill>
                <a:schemeClr val="tx2"/>
              </a:solidFill>
              <a:latin typeface="Bahnschrift" panose="020B0502040204020203" pitchFamily="34" charset="0"/>
            </a:rPr>
            <a:t>PROFIT</a:t>
          </a:r>
        </a:p>
      </xdr:txBody>
    </xdr:sp>
    <xdr:clientData/>
  </xdr:twoCellAnchor>
  <xdr:twoCellAnchor>
    <xdr:from>
      <xdr:col>5</xdr:col>
      <xdr:colOff>403860</xdr:colOff>
      <xdr:row>17</xdr:row>
      <xdr:rowOff>38100</xdr:rowOff>
    </xdr:from>
    <xdr:to>
      <xdr:col>7</xdr:col>
      <xdr:colOff>312420</xdr:colOff>
      <xdr:row>20</xdr:row>
      <xdr:rowOff>30480</xdr:rowOff>
    </xdr:to>
    <xdr:sp macro="" textlink="">
      <xdr:nvSpPr>
        <xdr:cNvPr id="15" name="TextBox 14">
          <a:extLst>
            <a:ext uri="{FF2B5EF4-FFF2-40B4-BE49-F238E27FC236}">
              <a16:creationId xmlns:a16="http://schemas.microsoft.com/office/drawing/2014/main" id="{71CF03E3-114F-C1D3-41E6-D70CDBFEA9E2}"/>
            </a:ext>
          </a:extLst>
        </xdr:cNvPr>
        <xdr:cNvSpPr txBox="1"/>
      </xdr:nvSpPr>
      <xdr:spPr>
        <a:xfrm>
          <a:off x="3451860" y="3147060"/>
          <a:ext cx="112776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solidFill>
              <a:latin typeface="Bahnschrift" panose="020B0502040204020203" pitchFamily="34" charset="0"/>
            </a:rPr>
            <a:t>PROFIT</a:t>
          </a:r>
        </a:p>
        <a:p>
          <a:r>
            <a:rPr lang="en-US" sz="1200" b="1">
              <a:solidFill>
                <a:schemeClr val="tx2"/>
              </a:solidFill>
              <a:latin typeface="Bahnschrift" panose="020B0502040204020203" pitchFamily="34" charset="0"/>
            </a:rPr>
            <a:t>PERCENTAGE</a:t>
          </a:r>
        </a:p>
      </xdr:txBody>
    </xdr:sp>
    <xdr:clientData/>
  </xdr:twoCellAnchor>
  <xdr:twoCellAnchor>
    <xdr:from>
      <xdr:col>13</xdr:col>
      <xdr:colOff>91440</xdr:colOff>
      <xdr:row>15</xdr:row>
      <xdr:rowOff>129540</xdr:rowOff>
    </xdr:from>
    <xdr:to>
      <xdr:col>17</xdr:col>
      <xdr:colOff>312420</xdr:colOff>
      <xdr:row>29</xdr:row>
      <xdr:rowOff>167640</xdr:rowOff>
    </xdr:to>
    <xdr:sp macro="" textlink="">
      <xdr:nvSpPr>
        <xdr:cNvPr id="17" name="Rectangle: Rounded Corners 16">
          <a:extLst>
            <a:ext uri="{FF2B5EF4-FFF2-40B4-BE49-F238E27FC236}">
              <a16:creationId xmlns:a16="http://schemas.microsoft.com/office/drawing/2014/main" id="{78731131-0C38-BDC8-D495-3CA9ED35E334}"/>
            </a:ext>
          </a:extLst>
        </xdr:cNvPr>
        <xdr:cNvSpPr/>
      </xdr:nvSpPr>
      <xdr:spPr>
        <a:xfrm>
          <a:off x="8016240" y="2896803"/>
          <a:ext cx="2659380" cy="2620879"/>
        </a:xfrm>
        <a:prstGeom prst="roundRect">
          <a:avLst/>
        </a:prstGeom>
        <a:solidFill>
          <a:schemeClr val="accent1">
            <a:lumMod val="20000"/>
            <a:lumOff val="80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236220</xdr:colOff>
      <xdr:row>17</xdr:row>
      <xdr:rowOff>30480</xdr:rowOff>
    </xdr:from>
    <xdr:to>
      <xdr:col>12</xdr:col>
      <xdr:colOff>403860</xdr:colOff>
      <xdr:row>28</xdr:row>
      <xdr:rowOff>137160</xdr:rowOff>
    </xdr:to>
    <xdr:graphicFrame macro="">
      <xdr:nvGraphicFramePr>
        <xdr:cNvPr id="18" name="Chart 17">
          <a:extLst>
            <a:ext uri="{FF2B5EF4-FFF2-40B4-BE49-F238E27FC236}">
              <a16:creationId xmlns:a16="http://schemas.microsoft.com/office/drawing/2014/main" id="{301B8A72-879E-47A9-822C-03A62CA11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426720</xdr:colOff>
      <xdr:row>11</xdr:row>
      <xdr:rowOff>144780</xdr:rowOff>
    </xdr:from>
    <xdr:to>
      <xdr:col>7</xdr:col>
      <xdr:colOff>335280</xdr:colOff>
      <xdr:row>14</xdr:row>
      <xdr:rowOff>99060</xdr:rowOff>
    </xdr:to>
    <xdr:sp macro="" textlink="Pivot_Table!R4">
      <xdr:nvSpPr>
        <xdr:cNvPr id="20" name="TextBox 19">
          <a:extLst>
            <a:ext uri="{FF2B5EF4-FFF2-40B4-BE49-F238E27FC236}">
              <a16:creationId xmlns:a16="http://schemas.microsoft.com/office/drawing/2014/main" id="{BAFE4FE5-5F4B-9E36-9207-051A6F4C3BFF}"/>
            </a:ext>
          </a:extLst>
        </xdr:cNvPr>
        <xdr:cNvSpPr txBox="1"/>
      </xdr:nvSpPr>
      <xdr:spPr>
        <a:xfrm>
          <a:off x="3474720" y="2156460"/>
          <a:ext cx="112776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fld id="{ED221711-C509-45AB-A42A-18E36C137292}" type="TxLink">
            <a:rPr lang="en-US" sz="2800" b="1" i="0" u="none" strike="noStrike" cap="none" spc="0">
              <a:ln/>
              <a:solidFill>
                <a:schemeClr val="accent3"/>
              </a:solidFill>
              <a:effectLst/>
              <a:latin typeface="Aptos Narrow"/>
            </a:rPr>
            <a:t>15273</a:t>
          </a:fld>
          <a:endParaRPr lang="en-US" sz="2800" b="1" cap="none" spc="0">
            <a:ln/>
            <a:solidFill>
              <a:schemeClr val="accent3"/>
            </a:solidFill>
            <a:effectLst/>
          </a:endParaRPr>
        </a:p>
      </xdr:txBody>
    </xdr:sp>
    <xdr:clientData/>
  </xdr:twoCellAnchor>
  <xdr:twoCellAnchor>
    <xdr:from>
      <xdr:col>13</xdr:col>
      <xdr:colOff>327660</xdr:colOff>
      <xdr:row>15</xdr:row>
      <xdr:rowOff>144780</xdr:rowOff>
    </xdr:from>
    <xdr:to>
      <xdr:col>17</xdr:col>
      <xdr:colOff>129540</xdr:colOff>
      <xdr:row>29</xdr:row>
      <xdr:rowOff>22860</xdr:rowOff>
    </xdr:to>
    <xdr:graphicFrame macro="">
      <xdr:nvGraphicFramePr>
        <xdr:cNvPr id="21" name="Chart 20">
          <a:extLst>
            <a:ext uri="{FF2B5EF4-FFF2-40B4-BE49-F238E27FC236}">
              <a16:creationId xmlns:a16="http://schemas.microsoft.com/office/drawing/2014/main" id="{7B1F1F01-19DF-4BBA-AFBF-A3D766D6F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586740</xdr:colOff>
      <xdr:row>10</xdr:row>
      <xdr:rowOff>99060</xdr:rowOff>
    </xdr:from>
    <xdr:to>
      <xdr:col>10</xdr:col>
      <xdr:colOff>601980</xdr:colOff>
      <xdr:row>13</xdr:row>
      <xdr:rowOff>76200</xdr:rowOff>
    </xdr:to>
    <xdr:sp macro="" textlink="Pivot_Table!S4">
      <xdr:nvSpPr>
        <xdr:cNvPr id="22" name="TextBox 21">
          <a:extLst>
            <a:ext uri="{FF2B5EF4-FFF2-40B4-BE49-F238E27FC236}">
              <a16:creationId xmlns:a16="http://schemas.microsoft.com/office/drawing/2014/main" id="{2A57A6D6-C33A-95C9-5600-4E7AED07EB1D}"/>
            </a:ext>
          </a:extLst>
        </xdr:cNvPr>
        <xdr:cNvSpPr txBox="1"/>
      </xdr:nvSpPr>
      <xdr:spPr>
        <a:xfrm>
          <a:off x="5463540" y="1927860"/>
          <a:ext cx="123444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fld id="{C8A6D543-92BD-41F4-94AE-61FCC8FE04AE}" type="TxLink">
            <a:rPr lang="en-US" sz="2800" b="1" i="0" u="none" strike="noStrike" cap="none" spc="0">
              <a:ln/>
              <a:solidFill>
                <a:schemeClr val="accent3"/>
              </a:solidFill>
              <a:effectLst/>
              <a:latin typeface="Aptos Narrow"/>
            </a:rPr>
            <a:t>12610</a:t>
          </a:fld>
          <a:endParaRPr lang="en-US" sz="2800" b="1" cap="none" spc="0">
            <a:ln/>
            <a:solidFill>
              <a:schemeClr val="accent3"/>
            </a:solidFill>
            <a:effectLst/>
          </a:endParaRPr>
        </a:p>
      </xdr:txBody>
    </xdr:sp>
    <xdr:clientData/>
  </xdr:twoCellAnchor>
  <xdr:twoCellAnchor>
    <xdr:from>
      <xdr:col>12</xdr:col>
      <xdr:colOff>274320</xdr:colOff>
      <xdr:row>10</xdr:row>
      <xdr:rowOff>137160</xdr:rowOff>
    </xdr:from>
    <xdr:to>
      <xdr:col>14</xdr:col>
      <xdr:colOff>175260</xdr:colOff>
      <xdr:row>13</xdr:row>
      <xdr:rowOff>144780</xdr:rowOff>
    </xdr:to>
    <xdr:sp macro="" textlink="Pivot_Table!T4">
      <xdr:nvSpPr>
        <xdr:cNvPr id="23" name="TextBox 22">
          <a:extLst>
            <a:ext uri="{FF2B5EF4-FFF2-40B4-BE49-F238E27FC236}">
              <a16:creationId xmlns:a16="http://schemas.microsoft.com/office/drawing/2014/main" id="{204A2AD8-2F91-04C0-6103-176BDC64517C}"/>
            </a:ext>
          </a:extLst>
        </xdr:cNvPr>
        <xdr:cNvSpPr txBox="1"/>
      </xdr:nvSpPr>
      <xdr:spPr>
        <a:xfrm>
          <a:off x="7589520" y="1965960"/>
          <a:ext cx="112014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fld id="{CA412C72-07B9-4E02-84A3-1C8CE14582DB}" type="TxLink">
            <a:rPr lang="en-US" sz="2800" b="1" i="0" u="none" strike="noStrike" cap="none" spc="0">
              <a:ln/>
              <a:solidFill>
                <a:schemeClr val="accent3"/>
              </a:solidFill>
              <a:effectLst/>
              <a:latin typeface="Aptos Narrow"/>
            </a:rPr>
            <a:t>2663</a:t>
          </a:fld>
          <a:endParaRPr lang="en-US" sz="2800" b="1" cap="none" spc="0">
            <a:ln/>
            <a:solidFill>
              <a:schemeClr val="accent3"/>
            </a:solidFill>
            <a:effectLst/>
          </a:endParaRPr>
        </a:p>
      </xdr:txBody>
    </xdr:sp>
    <xdr:clientData/>
  </xdr:twoCellAnchor>
  <xdr:twoCellAnchor>
    <xdr:from>
      <xdr:col>6</xdr:col>
      <xdr:colOff>7620</xdr:colOff>
      <xdr:row>21</xdr:row>
      <xdr:rowOff>7620</xdr:rowOff>
    </xdr:from>
    <xdr:to>
      <xdr:col>7</xdr:col>
      <xdr:colOff>259080</xdr:colOff>
      <xdr:row>24</xdr:row>
      <xdr:rowOff>7620</xdr:rowOff>
    </xdr:to>
    <xdr:sp macro="" textlink="Pivot_Table!U4">
      <xdr:nvSpPr>
        <xdr:cNvPr id="24" name="TextBox 23">
          <a:extLst>
            <a:ext uri="{FF2B5EF4-FFF2-40B4-BE49-F238E27FC236}">
              <a16:creationId xmlns:a16="http://schemas.microsoft.com/office/drawing/2014/main" id="{C83833E0-DC86-7FD9-69B4-4C6016986350}"/>
            </a:ext>
          </a:extLst>
        </xdr:cNvPr>
        <xdr:cNvSpPr txBox="1"/>
      </xdr:nvSpPr>
      <xdr:spPr>
        <a:xfrm>
          <a:off x="3665220" y="3848100"/>
          <a:ext cx="8610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fld id="{BD68F0E2-748E-478A-A31B-559D7FAA9FE9}" type="TxLink">
            <a:rPr lang="en-US" sz="2800" b="1" i="0" u="none" strike="noStrike" cap="none" spc="0">
              <a:ln/>
              <a:solidFill>
                <a:schemeClr val="accent3"/>
              </a:solidFill>
              <a:effectLst/>
              <a:latin typeface="Aptos Narrow"/>
            </a:rPr>
            <a:t>17%</a:t>
          </a:fld>
          <a:endParaRPr lang="en-US" sz="2800" b="1" cap="none" spc="0">
            <a:ln/>
            <a:solidFill>
              <a:schemeClr val="accent3"/>
            </a:solidFill>
            <a:effectLst/>
          </a:endParaRPr>
        </a:p>
      </xdr:txBody>
    </xdr:sp>
    <xdr:clientData/>
  </xdr:twoCellAnchor>
  <xdr:twoCellAnchor>
    <xdr:from>
      <xdr:col>15</xdr:col>
      <xdr:colOff>38100</xdr:colOff>
      <xdr:row>7</xdr:row>
      <xdr:rowOff>68580</xdr:rowOff>
    </xdr:from>
    <xdr:to>
      <xdr:col>17</xdr:col>
      <xdr:colOff>228600</xdr:colOff>
      <xdr:row>14</xdr:row>
      <xdr:rowOff>158250</xdr:rowOff>
    </xdr:to>
    <xdr:sp macro="" textlink="">
      <xdr:nvSpPr>
        <xdr:cNvPr id="28" name="Rectangle: Rounded Corners 27">
          <a:extLst>
            <a:ext uri="{FF2B5EF4-FFF2-40B4-BE49-F238E27FC236}">
              <a16:creationId xmlns:a16="http://schemas.microsoft.com/office/drawing/2014/main" id="{D2E0CFAC-CADB-42B9-96CD-F7CF8A7C5063}"/>
            </a:ext>
          </a:extLst>
        </xdr:cNvPr>
        <xdr:cNvSpPr/>
      </xdr:nvSpPr>
      <xdr:spPr>
        <a:xfrm>
          <a:off x="9182100" y="1348740"/>
          <a:ext cx="1409700" cy="1369830"/>
        </a:xfrm>
        <a:prstGeom prst="roundRect">
          <a:avLst/>
        </a:prstGeom>
        <a:solidFill>
          <a:schemeClr val="accent1">
            <a:lumMod val="20000"/>
            <a:lumOff val="80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15</xdr:col>
      <xdr:colOff>266700</xdr:colOff>
      <xdr:row>6</xdr:row>
      <xdr:rowOff>114300</xdr:rowOff>
    </xdr:from>
    <xdr:to>
      <xdr:col>16</xdr:col>
      <xdr:colOff>571500</xdr:colOff>
      <xdr:row>11</xdr:row>
      <xdr:rowOff>114300</xdr:rowOff>
    </xdr:to>
    <xdr:pic>
      <xdr:nvPicPr>
        <xdr:cNvPr id="30" name="Graphic 29" descr="Daily calendar outline">
          <a:extLst>
            <a:ext uri="{FF2B5EF4-FFF2-40B4-BE49-F238E27FC236}">
              <a16:creationId xmlns:a16="http://schemas.microsoft.com/office/drawing/2014/main" id="{30A91E83-2449-EB61-3CD0-33AB55212C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410700" y="1211580"/>
          <a:ext cx="914400" cy="914400"/>
        </a:xfrm>
        <a:prstGeom prst="rect">
          <a:avLst/>
        </a:prstGeom>
      </xdr:spPr>
    </xdr:pic>
    <xdr:clientData/>
  </xdr:twoCellAnchor>
  <xdr:twoCellAnchor>
    <xdr:from>
      <xdr:col>15</xdr:col>
      <xdr:colOff>327660</xdr:colOff>
      <xdr:row>11</xdr:row>
      <xdr:rowOff>22860</xdr:rowOff>
    </xdr:from>
    <xdr:to>
      <xdr:col>17</xdr:col>
      <xdr:colOff>0</xdr:colOff>
      <xdr:row>12</xdr:row>
      <xdr:rowOff>121920</xdr:rowOff>
    </xdr:to>
    <xdr:sp macro="" textlink="">
      <xdr:nvSpPr>
        <xdr:cNvPr id="31" name="TextBox 30">
          <a:extLst>
            <a:ext uri="{FF2B5EF4-FFF2-40B4-BE49-F238E27FC236}">
              <a16:creationId xmlns:a16="http://schemas.microsoft.com/office/drawing/2014/main" id="{6FC65B8F-26A4-E243-9D19-DA431825F56D}"/>
            </a:ext>
          </a:extLst>
        </xdr:cNvPr>
        <xdr:cNvSpPr txBox="1"/>
      </xdr:nvSpPr>
      <xdr:spPr>
        <a:xfrm>
          <a:off x="9471660" y="2034540"/>
          <a:ext cx="8915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cap="none" spc="0">
              <a:ln w="0"/>
              <a:solidFill>
                <a:schemeClr val="accent1"/>
              </a:solidFill>
              <a:effectLst>
                <a:outerShdw blurRad="38100" dist="25400" dir="5400000" algn="ctr" rotWithShape="0">
                  <a:srgbClr val="6E747A">
                    <a:alpha val="43000"/>
                  </a:srgbClr>
                </a:outerShdw>
              </a:effectLst>
            </a:rPr>
            <a:t>UPDATED</a:t>
          </a:r>
        </a:p>
      </xdr:txBody>
    </xdr:sp>
    <xdr:clientData/>
  </xdr:twoCellAnchor>
  <xdr:twoCellAnchor>
    <xdr:from>
      <xdr:col>15</xdr:col>
      <xdr:colOff>335280</xdr:colOff>
      <xdr:row>12</xdr:row>
      <xdr:rowOff>106680</xdr:rowOff>
    </xdr:from>
    <xdr:to>
      <xdr:col>16</xdr:col>
      <xdr:colOff>579120</xdr:colOff>
      <xdr:row>14</xdr:row>
      <xdr:rowOff>38100</xdr:rowOff>
    </xdr:to>
    <xdr:sp macro="" textlink="Pivot_Table!S6">
      <xdr:nvSpPr>
        <xdr:cNvPr id="32" name="TextBox 31">
          <a:extLst>
            <a:ext uri="{FF2B5EF4-FFF2-40B4-BE49-F238E27FC236}">
              <a16:creationId xmlns:a16="http://schemas.microsoft.com/office/drawing/2014/main" id="{7332FDD7-C7A1-CD56-B24E-68743A430431}"/>
            </a:ext>
          </a:extLst>
        </xdr:cNvPr>
        <xdr:cNvSpPr txBox="1"/>
      </xdr:nvSpPr>
      <xdr:spPr>
        <a:xfrm>
          <a:off x="9479280" y="2301240"/>
          <a:ext cx="8534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6E545B-33F6-4987-A193-FF12E258A6E6}" type="TxLink">
            <a:rPr lang="en-US" sz="1100" b="1" i="0" u="none" strike="noStrike">
              <a:solidFill>
                <a:srgbClr val="FF0000"/>
              </a:solidFill>
              <a:latin typeface="Bahnschrift" panose="020B0502040204020203" pitchFamily="34" charset="0"/>
            </a:rPr>
            <a:t>16-10-2026</a:t>
          </a:fld>
          <a:endParaRPr lang="en-US" sz="1100" b="1">
            <a:solidFill>
              <a:srgbClr val="FF0000"/>
            </a:solidFill>
            <a:latin typeface="Bahnschrift" panose="020B0502040204020203" pitchFamily="34" charset="0"/>
          </a:endParaRPr>
        </a:p>
      </xdr:txBody>
    </xdr:sp>
    <xdr:clientData/>
  </xdr:twoCellAnchor>
  <xdr:twoCellAnchor editAs="oneCell">
    <xdr:from>
      <xdr:col>0</xdr:col>
      <xdr:colOff>526180</xdr:colOff>
      <xdr:row>12</xdr:row>
      <xdr:rowOff>32084</xdr:rowOff>
    </xdr:from>
    <xdr:to>
      <xdr:col>5</xdr:col>
      <xdr:colOff>0</xdr:colOff>
      <xdr:row>21</xdr:row>
      <xdr:rowOff>40106</xdr:rowOff>
    </xdr:to>
    <mc:AlternateContent xmlns:mc="http://schemas.openxmlformats.org/markup-compatibility/2006">
      <mc:Choice xmlns:a14="http://schemas.microsoft.com/office/drawing/2010/main" Requires="a14">
        <xdr:graphicFrame macro="">
          <xdr:nvGraphicFramePr>
            <xdr:cNvPr id="33" name="Category">
              <a:extLst>
                <a:ext uri="{FF2B5EF4-FFF2-40B4-BE49-F238E27FC236}">
                  <a16:creationId xmlns:a16="http://schemas.microsoft.com/office/drawing/2014/main" id="{2D09B6DC-9ADB-446C-AC54-31BC3533BB5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6180" y="2245895"/>
              <a:ext cx="2521820" cy="1668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1.781435763885" backgroundQuery="1" createdVersion="8" refreshedVersion="8" minRefreshableVersion="3" recordCount="0" supportSubquery="1" supportAdvancedDrill="1" xr:uid="{95C7A96B-1171-4C9E-BCF0-DC78309C4400}">
  <cacheSource type="external" connectionId="5"/>
  <cacheFields count="3">
    <cacheField name="[Products].[Product Name].[Product Name]" caption="Product Name" numFmtId="0" hierarchy="4" level="1">
      <sharedItems count="10">
        <s v="Backpack"/>
        <s v="Laptop"/>
        <s v="Monitor"/>
        <s v="Notebook"/>
        <s v="Office Chair"/>
        <s v="Pen Set"/>
        <s v="Smartphone"/>
        <s v="Standing Desk"/>
        <s v="Tablet"/>
        <s v="Wireless Mouse"/>
      </sharedItems>
    </cacheField>
    <cacheField name="[Measures].[Total Sales]" caption="Total Sales" numFmtId="0" hierarchy="17" level="32767"/>
    <cacheField name="[Products].[Category].[Category]" caption="Category" numFmtId="0" hierarchy="5" level="1">
      <sharedItems containsSemiMixedTypes="0" containsNonDate="0" containsString="0"/>
    </cacheField>
  </cacheFields>
  <cacheHierarchies count="26">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Unit Cost]" caption="Unit Cost" attribute="1" defaultMemberUniqueName="[Products].[Unit Cost].[All]" allUniqueName="[Products].[Unit Cost].[All]" dimensionUniqueName="[Products]" displayFolder="" count="2" memberValueDatatype="20" unbalanced="0"/>
    <cacheHierarchy uniqueName="[sales_data].[Order ID]" caption="Order ID" attribute="1" defaultMemberUniqueName="[sales_data].[Order ID].[All]" allUniqueName="[sales_data].[Order ID].[All]" dimensionUniqueName="[sales_data]" displayFolder="" count="2"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Customer ID]" caption="Customer ID" attribute="1" defaultMemberUniqueName="[sales_data].[Customer ID].[All]" allUniqueName="[sales_data].[Customer ID].[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2" memberValueDatatype="130" unbalanced="0"/>
    <cacheHierarchy uniqueName="[sales_data].[Store ID]" caption="Store ID" attribute="1" defaultMemberUniqueName="[sales_data].[Store ID].[All]" allUniqueName="[sales_data].[Store ID].[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Sales Amount]" caption="Sales Amount" attribute="1" defaultMemberUniqueName="[sales_data].[Sales Amount].[All]" allUniqueName="[sales_data].[Sales Amount].[All]" dimensionUniqueName="[sales_data]" displayFolder="" count="2" memberValueDatatype="20" unbalanced="0"/>
    <cacheHierarchy uniqueName="[Stores].[Store ID]" caption="Store ID" attribute="1" defaultMemberUniqueName="[Stores].[Store ID].[All]" allUniqueName="[Stores].[Store ID].[All]" dimensionUniqueName="[Stores]" displayFolder="" count="2" memberValueDatatype="130" unbalanced="0"/>
    <cacheHierarchy uniqueName="[Stores].[Store Name]" caption="Store Name" attribute="1" defaultMemberUniqueName="[Stores].[Store Name].[All]" allUniqueName="[Stores].[Store Name].[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cacheHierarchy uniqueName="[Measures].[Total Sales]" caption="Total Sales" measure="1" displayFolder="" measureGroup="sales_data" count="0" oneField="1">
      <fieldsUsage count="1">
        <fieldUsage x="1"/>
      </fieldsUsage>
    </cacheHierarchy>
    <cacheHierarchy uniqueName="[Measures].[Total Cost]" caption="Total Cost" measure="1" displayFolder="" measureGroup="sales_data" count="0"/>
    <cacheHierarchy uniqueName="[Measures].[Total Profit]" caption="Total Profit" measure="1" displayFolder="" measureGroup="sales_data" count="0"/>
    <cacheHierarchy uniqueName="[Measures].[Profit Percentage]" caption="Profit Percentage" measure="1" displayFolder="" measureGroup="sales_data"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_data" uniqueName="[sales_data]" caption="sales_data"/>
    <dimension name="Stores" uniqueName="[Stores]" caption="Stores"/>
  </dimensions>
  <measureGroups count="4">
    <measureGroup name="customers" caption="customers"/>
    <measureGroup name="Products" caption="Products"/>
    <measureGroup name="sales_data" caption="sales_data"/>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1.781436226855" backgroundQuery="1" createdVersion="8" refreshedVersion="8" minRefreshableVersion="3" recordCount="0" supportSubquery="1" supportAdvancedDrill="1" xr:uid="{B2F76CF9-5462-40DB-ADCD-3DB37101709B}">
  <cacheSource type="external" connectionId="5"/>
  <cacheFields count="3">
    <cacheField name="[Measures].[Total Sales]" caption="Total Sales" numFmtId="0" hierarchy="17" level="32767"/>
    <cacheField name="[customers].[Region].[Region]" caption="Region" numFmtId="0" hierarchy="2" level="1">
      <sharedItems count="4">
        <s v="East"/>
        <s v="North"/>
        <s v="South"/>
        <s v="West"/>
      </sharedItems>
    </cacheField>
    <cacheField name="[Products].[Category].[Category]" caption="Category" numFmtId="0" hierarchy="5" level="1">
      <sharedItems containsSemiMixedTypes="0" containsNonDate="0" containsString="0"/>
    </cacheField>
  </cacheFields>
  <cacheHierarchies count="2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Unit Cost]" caption="Unit Cost" attribute="1" defaultMemberUniqueName="[Products].[Unit Cost].[All]" allUniqueName="[Products].[Unit Cost].[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Store ID]" caption="Store ID" attribute="1" defaultMemberUniqueName="[sales_data].[Store ID].[All]" allUniqueName="[sales_data].[Store ID].[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tores].[Store ID]" caption="Store ID" attribute="1" defaultMemberUniqueName="[Stores].[Store ID].[All]" allUniqueName="[Stores].[Store 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Measures].[Total Sales]" caption="Total Sales" measure="1" displayFolder="" measureGroup="sales_data" count="0" oneField="1">
      <fieldsUsage count="1">
        <fieldUsage x="0"/>
      </fieldsUsage>
    </cacheHierarchy>
    <cacheHierarchy uniqueName="[Measures].[Total Cost]" caption="Total Cost" measure="1" displayFolder="" measureGroup="sales_data" count="0"/>
    <cacheHierarchy uniqueName="[Measures].[Total Profit]" caption="Total Profit" measure="1" displayFolder="" measureGroup="sales_data" count="0"/>
    <cacheHierarchy uniqueName="[Measures].[Profit Percentage]" caption="Profit Percentage" measure="1" displayFolder="" measureGroup="sales_data"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_data" uniqueName="[sales_data]" caption="sales_data"/>
    <dimension name="Stores" uniqueName="[Stores]" caption="Stores"/>
  </dimensions>
  <measureGroups count="4">
    <measureGroup name="customers" caption="customers"/>
    <measureGroup name="Products" caption="Products"/>
    <measureGroup name="sales_data" caption="sales_data"/>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1.781436458332" backgroundQuery="1" createdVersion="8" refreshedVersion="8" minRefreshableVersion="3" recordCount="0" supportSubquery="1" supportAdvancedDrill="1" xr:uid="{DE5ABA70-18CB-4338-8EF2-3A8B7278ADEC}">
  <cacheSource type="external" connectionId="5"/>
  <cacheFields count="2">
    <cacheField name="[Measures].[Total Sales]" caption="Total Sales" numFmtId="0" hierarchy="17" level="32767"/>
    <cacheField name="[Products].[Category].[Category]" caption="Category" numFmtId="0" hierarchy="5" level="1">
      <sharedItems containsSemiMixedTypes="0" containsNonDate="0" containsString="0"/>
    </cacheField>
  </cacheFields>
  <cacheHierarchies count="2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Unit Cost]" caption="Unit Cost" attribute="1" defaultMemberUniqueName="[Products].[Unit Cost].[All]" allUniqueName="[Products].[Unit Cost].[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Store ID]" caption="Store ID" attribute="1" defaultMemberUniqueName="[sales_data].[Store ID].[All]" allUniqueName="[sales_data].[Store ID].[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tores].[Store ID]" caption="Store ID" attribute="1" defaultMemberUniqueName="[Stores].[Store ID].[All]" allUniqueName="[Stores].[Store 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Measures].[Total Sales]" caption="Total Sales" measure="1" displayFolder="" measureGroup="sales_data" count="0" oneField="1">
      <fieldsUsage count="1">
        <fieldUsage x="0"/>
      </fieldsUsage>
    </cacheHierarchy>
    <cacheHierarchy uniqueName="[Measures].[Total Cost]" caption="Total Cost" measure="1" displayFolder="" measureGroup="sales_data" count="0"/>
    <cacheHierarchy uniqueName="[Measures].[Total Profit]" caption="Total Profit" measure="1" displayFolder="" measureGroup="sales_data" count="0"/>
    <cacheHierarchy uniqueName="[Measures].[Profit Percentage]" caption="Profit Percentage" measure="1" displayFolder="" measureGroup="sales_data"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_data" uniqueName="[sales_data]" caption="sales_data"/>
    <dimension name="Stores" uniqueName="[Stores]" caption="Stores"/>
  </dimensions>
  <measureGroups count="4">
    <measureGroup name="customers" caption="customers"/>
    <measureGroup name="Products" caption="Products"/>
    <measureGroup name="sales_data" caption="sales_data"/>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1.781436574071" backgroundQuery="1" createdVersion="8" refreshedVersion="8" minRefreshableVersion="3" recordCount="0" supportSubquery="1" supportAdvancedDrill="1" xr:uid="{D454257C-5663-4F07-9890-E28110D4B97D}">
  <cacheSource type="external" connectionId="5"/>
  <cacheFields count="2">
    <cacheField name="[Measures].[Total Cost]" caption="Total Cost" numFmtId="0" hierarchy="18" level="32767"/>
    <cacheField name="[Products].[Category].[Category]" caption="Category" numFmtId="0" hierarchy="5" level="1">
      <sharedItems containsSemiMixedTypes="0" containsNonDate="0" containsString="0"/>
    </cacheField>
  </cacheFields>
  <cacheHierarchies count="2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Unit Cost]" caption="Unit Cost" attribute="1" defaultMemberUniqueName="[Products].[Unit Cost].[All]" allUniqueName="[Products].[Unit Cost].[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Store ID]" caption="Store ID" attribute="1" defaultMemberUniqueName="[sales_data].[Store ID].[All]" allUniqueName="[sales_data].[Store ID].[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tores].[Store ID]" caption="Store ID" attribute="1" defaultMemberUniqueName="[Stores].[Store ID].[All]" allUniqueName="[Stores].[Store 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Measures].[Total Sales]" caption="Total Sales" measure="1" displayFolder="" measureGroup="sales_data" count="0"/>
    <cacheHierarchy uniqueName="[Measures].[Total Cost]" caption="Total Cost" measure="1" displayFolder="" measureGroup="sales_data" count="0" oneField="1">
      <fieldsUsage count="1">
        <fieldUsage x="0"/>
      </fieldsUsage>
    </cacheHierarchy>
    <cacheHierarchy uniqueName="[Measures].[Total Profit]" caption="Total Profit" measure="1" displayFolder="" measureGroup="sales_data" count="0"/>
    <cacheHierarchy uniqueName="[Measures].[Profit Percentage]" caption="Profit Percentage" measure="1" displayFolder="" measureGroup="sales_data"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_data" uniqueName="[sales_data]" caption="sales_data"/>
    <dimension name="Stores" uniqueName="[Stores]" caption="Stores"/>
  </dimensions>
  <measureGroups count="4">
    <measureGroup name="customers" caption="customers"/>
    <measureGroup name="Products" caption="Products"/>
    <measureGroup name="sales_data" caption="sales_data"/>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1.781436689816" backgroundQuery="1" createdVersion="8" refreshedVersion="8" minRefreshableVersion="3" recordCount="0" supportSubquery="1" supportAdvancedDrill="1" xr:uid="{D53B44D7-DD8B-4C6F-8C56-152445D31B8A}">
  <cacheSource type="external" connectionId="5"/>
  <cacheFields count="2">
    <cacheField name="[Measures].[Total Profit]" caption="Total Profit" numFmtId="0" hierarchy="19" level="32767"/>
    <cacheField name="[Products].[Category].[Category]" caption="Category" numFmtId="0" hierarchy="5" level="1">
      <sharedItems containsSemiMixedTypes="0" containsNonDate="0" containsString="0"/>
    </cacheField>
  </cacheFields>
  <cacheHierarchies count="2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Unit Cost]" caption="Unit Cost" attribute="1" defaultMemberUniqueName="[Products].[Unit Cost].[All]" allUniqueName="[Products].[Unit Cost].[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Store ID]" caption="Store ID" attribute="1" defaultMemberUniqueName="[sales_data].[Store ID].[All]" allUniqueName="[sales_data].[Store ID].[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tores].[Store ID]" caption="Store ID" attribute="1" defaultMemberUniqueName="[Stores].[Store ID].[All]" allUniqueName="[Stores].[Store 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Measures].[Total Sales]" caption="Total Sales" measure="1" displayFolder="" measureGroup="sales_data" count="0"/>
    <cacheHierarchy uniqueName="[Measures].[Total Cost]" caption="Total Cost" measure="1" displayFolder="" measureGroup="sales_data" count="0"/>
    <cacheHierarchy uniqueName="[Measures].[Total Profit]" caption="Total Profit" measure="1" displayFolder="" measureGroup="sales_data" count="0" oneField="1">
      <fieldsUsage count="1">
        <fieldUsage x="0"/>
      </fieldsUsage>
    </cacheHierarchy>
    <cacheHierarchy uniqueName="[Measures].[Profit Percentage]" caption="Profit Percentage" measure="1" displayFolder="" measureGroup="sales_data"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_data" uniqueName="[sales_data]" caption="sales_data"/>
    <dimension name="Stores" uniqueName="[Stores]" caption="Stores"/>
  </dimensions>
  <measureGroups count="4">
    <measureGroup name="customers" caption="customers"/>
    <measureGroup name="Products" caption="Products"/>
    <measureGroup name="sales_data" caption="sales_data"/>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1.781436921294" backgroundQuery="1" createdVersion="8" refreshedVersion="8" minRefreshableVersion="3" recordCount="0" supportSubquery="1" supportAdvancedDrill="1" xr:uid="{9A0046C8-7575-451C-A367-A0FE6FDC31A8}">
  <cacheSource type="external" connectionId="5"/>
  <cacheFields count="2">
    <cacheField name="[Measures].[Profit Percentage]" caption="Profit Percentage" numFmtId="0" hierarchy="20" level="32767"/>
    <cacheField name="[Products].[Category].[Category]" caption="Category" numFmtId="0" hierarchy="5" level="1">
      <sharedItems containsSemiMixedTypes="0" containsNonDate="0" containsString="0"/>
    </cacheField>
  </cacheFields>
  <cacheHierarchies count="2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Unit Cost]" caption="Unit Cost" attribute="1" defaultMemberUniqueName="[Products].[Unit Cost].[All]" allUniqueName="[Products].[Unit Cost].[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Store ID]" caption="Store ID" attribute="1" defaultMemberUniqueName="[sales_data].[Store ID].[All]" allUniqueName="[sales_data].[Store ID].[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tores].[Store ID]" caption="Store ID" attribute="1" defaultMemberUniqueName="[Stores].[Store ID].[All]" allUniqueName="[Stores].[Store 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Measures].[Total Sales]" caption="Total Sales" measure="1" displayFolder="" measureGroup="sales_data" count="0"/>
    <cacheHierarchy uniqueName="[Measures].[Total Cost]" caption="Total Cost" measure="1" displayFolder="" measureGroup="sales_data" count="0"/>
    <cacheHierarchy uniqueName="[Measures].[Total Profit]" caption="Total Profit" measure="1" displayFolder="" measureGroup="sales_data" count="0"/>
    <cacheHierarchy uniqueName="[Measures].[Profit Percentage]" caption="Profit Percentage" measure="1" displayFolder="" measureGroup="sales_data" count="0" oneField="1">
      <fieldsUsage count="1">
        <fieldUsage x="0"/>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Products" uniqueName="[Products]" caption="Products"/>
    <dimension name="sales_data" uniqueName="[sales_data]" caption="sales_data"/>
    <dimension name="Stores" uniqueName="[Stores]" caption="Stores"/>
  </dimensions>
  <measureGroups count="4">
    <measureGroup name="customers" caption="customers"/>
    <measureGroup name="Products" caption="Products"/>
    <measureGroup name="sales_data" caption="sales_data"/>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1.780112037035" backgroundQuery="1" createdVersion="3" refreshedVersion="8" minRefreshableVersion="3" recordCount="0" supportSubquery="1" supportAdvancedDrill="1" xr:uid="{29794DF4-6DB1-4E3C-AE38-4F175991401D}">
  <cacheSource type="external" connectionId="5">
    <extLst>
      <ext xmlns:x14="http://schemas.microsoft.com/office/spreadsheetml/2009/9/main" uri="{F057638F-6D5F-4e77-A914-E7F072B9BCA8}">
        <x14:sourceConnection name="ThisWorkbookDataModel"/>
      </ext>
    </extLst>
  </cacheSource>
  <cacheFields count="0"/>
  <cacheHierarchies count="2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 Cost]" caption="Unit Cost" attribute="1" defaultMemberUniqueName="[Products].[Unit Cost].[All]" allUniqueName="[Products].[Unit Cost].[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Store ID]" caption="Store ID" attribute="1" defaultMemberUniqueName="[sales_data].[Store ID].[All]" allUniqueName="[sales_data].[Store ID].[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 Amount]" caption="Sales Amount" attribute="1" defaultMemberUniqueName="[sales_data].[Sales Amount].[All]" allUniqueName="[sales_data].[Sales Amount].[All]" dimensionUniqueName="[sales_data]" displayFolder="" count="0" memberValueDatatype="20" unbalanced="0"/>
    <cacheHierarchy uniqueName="[Stores].[Store ID]" caption="Store ID" attribute="1" defaultMemberUniqueName="[Stores].[Store ID].[All]" allUniqueName="[Stores].[Store 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Measures].[Total Sales]" caption="Total Sales" measure="1" displayFolder="" measureGroup="sales_data" count="0"/>
    <cacheHierarchy uniqueName="[Measures].[Total Cost]" caption="Total Cost" measure="1" displayFolder="" measureGroup="sales_data" count="0"/>
    <cacheHierarchy uniqueName="[Measures].[Total Profit]" caption="Total Profit" measure="1" displayFolder="" measureGroup="sales_data" count="0"/>
    <cacheHierarchy uniqueName="[Measures].[Profit Percentage]" caption="Profit Percentage" measure="1" displayFolder="" measureGroup="sales_data"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95419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EDC449-3B22-43DD-836A-2DD696FFD71E}" name="PivotTable6" cacheId="123" applyNumberFormats="0" applyBorderFormats="0" applyFontFormats="0" applyPatternFormats="0" applyAlignmentFormats="0" applyWidthHeightFormats="1" dataCaption="Values" tag="a31f2efb-cdf1-415e-a967-d1ce9a86b090" updatedVersion="8" minRefreshableVersion="3" useAutoFormatting="1" itemPrintTitles="1" createdVersion="8"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3F43B9-FD5F-4C43-90A7-57C8385CDF20}" name="PivotTable5" cacheId="120" applyNumberFormats="0" applyBorderFormats="0" applyFontFormats="0" applyPatternFormats="0" applyAlignmentFormats="0" applyWidthHeightFormats="1" dataCaption="Values" tag="55c120ff-a730-4499-80aa-d105825a977d"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D0395E-3DD4-4890-98FA-08D385AEBFDA}" name="PivotTable4" cacheId="117" applyNumberFormats="0" applyBorderFormats="0" applyFontFormats="0" applyPatternFormats="0" applyAlignmentFormats="0" applyWidthHeightFormats="1" dataCaption="Values" tag="eebe210d-63d8-47b9-9c04-557d6290dd25" updatedVersion="8" minRefreshableVersion="3" useAutoFormatting="1" itemPrintTitles="1" createdVersion="8" indent="0" outline="1" outlineData="1" multipleFieldFilters="0">
  <location ref="D3:E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3CEAEC-CC38-4AF8-88FC-6307AB3DF6C5}" name="PivotTable3" cacheId="114" applyNumberFormats="0" applyBorderFormats="0" applyFontFormats="0" applyPatternFormats="0" applyAlignmentFormats="0" applyWidthHeightFormats="1" dataCaption="Values" tag="45e08c72-fb1d-4c44-a1fa-e8f85bfcae21" updatedVersion="8" minRefreshableVersion="3" useAutoFormatting="1" itemPrintTitles="1" createdVersion="8" indent="0" outline="1" outlineData="1" multipleFieldFilters="0">
  <location ref="A3:B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4F6513-3EC0-40DD-AC45-41BE025E9A3A}" name="PivotTable8" cacheId="129" applyNumberFormats="0" applyBorderFormats="0" applyFontFormats="0" applyPatternFormats="0" applyAlignmentFormats="0" applyWidthHeightFormats="1" dataCaption="Values" tag="454151d7-c3ac-4dcb-81b8-c75ff04080c8" updatedVersion="8" minRefreshableVersion="3" useAutoFormatting="1" itemPrintTitles="1" createdVersion="8" indent="0" outline="1" outlineData="1" multipleFieldFilters="0">
  <location ref="P3:P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7">
      <pivotArea outline="0" collapsedLevelsAreSubtotals="1" fieldPosition="0"/>
    </format>
  </format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7B446B-402B-4599-819F-335498DDCBEB}" name="PivotTable7" cacheId="126" applyNumberFormats="0" applyBorderFormats="0" applyFontFormats="0" applyPatternFormats="0" applyAlignmentFormats="0" applyWidthHeightFormats="1" dataCaption="Values" tag="9fb97d5d-bebb-4b6a-8a85-e1887d9e22ca" updatedVersion="8" minRefreshableVersion="3" useAutoFormatting="1" itemPrintTitles="1" createdVersion="8" indent="0" outline="1" outlineData="1" multipleFieldFilters="0">
  <location ref="M3:M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9D1DD9-4789-4224-AF06-143C480EEA99}" autoFormatId="16" applyNumberFormats="0" applyBorderFormats="0" applyFontFormats="0" applyPatternFormats="0" applyAlignmentFormats="0" applyWidthHeightFormats="0">
  <queryTableRefresh nextId="4">
    <queryTableFields count="3">
      <queryTableField id="1" name="Customer ID" tableColumnId="1"/>
      <queryTableField id="2" name="Customer Name" tableColumnId="2"/>
      <queryTableField id="3" name="Region"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884248C-54EF-42CC-8708-4D047E46B8B0}" autoFormatId="16" applyNumberFormats="0" applyBorderFormats="0" applyFontFormats="0" applyPatternFormats="0" applyAlignmentFormats="0" applyWidthHeightFormats="0">
  <queryTableRefresh nextId="5">
    <queryTableFields count="4">
      <queryTableField id="1" name="Product ID" tableColumnId="1"/>
      <queryTableField id="2" name="Product Name" tableColumnId="2"/>
      <queryTableField id="3" name="Category" tableColumnId="3"/>
      <queryTableField id="4" name="Unit Cost"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1A3C4FA3-A980-40A7-A590-9A39A16F17D1}" autoFormatId="16" applyNumberFormats="0" applyBorderFormats="0" applyFontFormats="0" applyPatternFormats="0" applyAlignmentFormats="0" applyWidthHeightFormats="0">
  <queryTableRefresh nextId="4">
    <queryTableFields count="3">
      <queryTableField id="1" name="Store ID" tableColumnId="1"/>
      <queryTableField id="2" name="Store Name" tableColumnId="2"/>
      <queryTableField id="3" name="City"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7044F568-E49D-4BFE-B6A1-4879835E038B}" autoFormatId="16" applyNumberFormats="0" applyBorderFormats="0" applyFontFormats="0" applyPatternFormats="0" applyAlignmentFormats="0" applyWidthHeightFormats="0">
  <queryTableRefresh nextId="8">
    <queryTableFields count="7">
      <queryTableField id="1" name="Order ID" tableColumnId="1"/>
      <queryTableField id="2" name="Order Date" tableColumnId="2"/>
      <queryTableField id="3" name="Customer ID" tableColumnId="3"/>
      <queryTableField id="4" name="Product ID" tableColumnId="4"/>
      <queryTableField id="5" name="Store ID" tableColumnId="5"/>
      <queryTableField id="6" name="Quantity" tableColumnId="6"/>
      <queryTableField id="7" name="Sales Amoun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3FA516-0083-4093-9FB4-D9E904180AFB}" sourceName="[Products].[Category]">
  <pivotTables>
    <pivotTable tabId="8" name="PivotTable3"/>
    <pivotTable tabId="8" name="PivotTable4"/>
    <pivotTable tabId="8" name="PivotTable5"/>
    <pivotTable tabId="8" name="PivotTable6"/>
    <pivotTable tabId="8" name="PivotTable7"/>
    <pivotTable tabId="8" name="PivotTable8"/>
  </pivotTables>
  <data>
    <olap pivotCacheId="929541970">
      <levels count="2">
        <level uniqueName="[Products].[Category].[(All)]" sourceCaption="(All)" count="0"/>
        <level uniqueName="[Products].[Category].[Category]" sourceCaption="Category" count="4">
          <ranges>
            <range startItem="0">
              <i n="[Products].[Category].&amp;[Accessories]" c="Accessories"/>
              <i n="[Products].[Category].&amp;[Electronics]" c="Electronics"/>
              <i n="[Products].[Category].&amp;[Furniture]" c="Furniture"/>
              <i n="[Products].[Category].&amp;[Stationery]" c="Stationery"/>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E208378-07A4-4525-8702-B7A11261AA84}" cache="Slicer_Category" caption="Category"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8D214B-3541-4077-9909-7CB255C33114}" name="customers" displayName="customers" ref="A1:C11" tableType="queryTable" totalsRowShown="0">
  <autoFilter ref="A1:C11" xr:uid="{988D214B-3541-4077-9909-7CB255C33114}"/>
  <tableColumns count="3">
    <tableColumn id="1" xr3:uid="{45399D7B-5C47-48F5-A6E1-BA59DC753A05}" uniqueName="1" name="Customer ID" queryTableFieldId="1" dataDxfId="22"/>
    <tableColumn id="2" xr3:uid="{C179279D-A3B0-4BF6-92A1-AAF56A6AEF85}" uniqueName="2" name="Customer Name" queryTableFieldId="2" dataDxfId="21"/>
    <tableColumn id="3" xr3:uid="{F2CE863B-D84D-4FE6-8484-B9BB5F68FD76}" uniqueName="3" name="Region" queryTableFieldId="3" dataDxfId="20"/>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9C5E7E-FC95-448F-BDEA-FD0D1CC36175}" name="Products" displayName="Products" ref="A1:D11" tableType="queryTable" totalsRowShown="0">
  <autoFilter ref="A1:D11" xr:uid="{3F9C5E7E-FC95-448F-BDEA-FD0D1CC36175}"/>
  <tableColumns count="4">
    <tableColumn id="1" xr3:uid="{55A8D76C-7B3A-4BFD-9A0D-B4168E04E08C}" uniqueName="1" name="Product ID" queryTableFieldId="1" dataDxfId="19"/>
    <tableColumn id="2" xr3:uid="{5A137489-CA63-4890-BE53-9F98014B556E}" uniqueName="2" name="Product Name" queryTableFieldId="2" dataDxfId="18"/>
    <tableColumn id="3" xr3:uid="{C85B3045-7791-43DC-86DF-CD75425DF996}" uniqueName="3" name="Category" queryTableFieldId="3" dataDxfId="17"/>
    <tableColumn id="4" xr3:uid="{4C5464F3-464D-4BF1-8F49-B8661A2B539F}" uniqueName="4" name="Unit Cost"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4CE951-FD5E-4ACE-886D-DD859C245DAC}" name="Stores" displayName="Stores" ref="A1:C11" tableType="queryTable" totalsRowShown="0">
  <autoFilter ref="A1:C11" xr:uid="{414CE951-FD5E-4ACE-886D-DD859C245DAC}"/>
  <tableColumns count="3">
    <tableColumn id="1" xr3:uid="{E9D7C317-07B9-4FBA-87AA-3E59E8F5ABDC}" uniqueName="1" name="Store ID" queryTableFieldId="1" dataDxfId="16"/>
    <tableColumn id="2" xr3:uid="{31E1E3D1-0AEA-4A8C-8E19-58E409BE5F1F}" uniqueName="2" name="Store Name" queryTableFieldId="2" dataDxfId="15"/>
    <tableColumn id="3" xr3:uid="{AF82FD50-60BF-4712-A48F-409A0C7D0EDD}" uniqueName="3" name="City" queryTableFieldId="3" dataDxfId="14"/>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C575C6-8ECC-4806-BB8F-A47C3464739C}" name="sales_data" displayName="sales_data" ref="A1:G21" tableType="queryTable" totalsRowShown="0">
  <autoFilter ref="A1:G21" xr:uid="{FEC575C6-8ECC-4806-BB8F-A47C3464739C}"/>
  <tableColumns count="7">
    <tableColumn id="1" xr3:uid="{8689EC22-7E68-42B8-B124-41154CB7C27D}" uniqueName="1" name="Order ID" queryTableFieldId="1" dataDxfId="13"/>
    <tableColumn id="2" xr3:uid="{8F95ED6A-D474-4EEC-A582-CB233B9D1E0B}" uniqueName="2" name="Order Date" queryTableFieldId="2" dataDxfId="12"/>
    <tableColumn id="3" xr3:uid="{926187F9-F5AB-4A06-B34D-10CEB08C1076}" uniqueName="3" name="Customer ID" queryTableFieldId="3" dataDxfId="11"/>
    <tableColumn id="4" xr3:uid="{5D95D951-2FC5-4826-980E-D043040C7376}" uniqueName="4" name="Product ID" queryTableFieldId="4" dataDxfId="10"/>
    <tableColumn id="5" xr3:uid="{9CE47A2D-657F-4F6D-BD68-C2C2BAECB8C4}" uniqueName="5" name="Store ID" queryTableFieldId="5" dataDxfId="9"/>
    <tableColumn id="6" xr3:uid="{32709839-23E3-458F-AA0B-6334D7D120F0}" uniqueName="6" name="Quantity" queryTableFieldId="6"/>
    <tableColumn id="7" xr3:uid="{ED414DEA-3876-4E11-A757-1B2B093BAD2B}" uniqueName="7" name="Sales Amount" queryTableFieldId="7"/>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40A3A4-FD11-4B4C-9826-38889DEEC5E5}" name="Table1" displayName="Table1" ref="D17:F23" totalsRowShown="0">
  <autoFilter ref="D17:F23" xr:uid="{FF40A3A4-FD11-4B4C-9826-38889DEEC5E5}"/>
  <tableColumns count="3">
    <tableColumn id="1" xr3:uid="{CC0AB4B3-54F2-46D2-A194-030D7376AEE0}" name="Region"/>
    <tableColumn id="2" xr3:uid="{B800D627-9A51-41FC-AE27-677EB077733F}" name="Total Sales" dataDxfId="6">
      <calculatedColumnFormula>IFERROR(GETPIVOTDATA("[Measures].[Total Sales]", $D$3, "[customers].[Region]", "[customers].[Region].&amp;[" &amp; D18 &amp; "]"),"")</calculatedColumnFormula>
    </tableColumn>
    <tableColumn id="5" xr3:uid="{8AD79418-1063-4C1D-A2B2-18A400BEEDEF}" name="Percentage"/>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6C705DF-EF77-4574-AD74-22405CB1E671}" name="Table2" displayName="Table2" ref="A17:C29" totalsRowShown="0">
  <autoFilter ref="A17:C29" xr:uid="{B6C705DF-EF77-4574-AD74-22405CB1E671}"/>
  <tableColumns count="3">
    <tableColumn id="1" xr3:uid="{EC6C9BC9-B1DE-4AF6-AFAF-6AFC2E8CCFA7}" name="Product"/>
    <tableColumn id="2" xr3:uid="{F75E787B-59BD-4392-BB0C-58694AC80412}" name="Total Sales" dataDxfId="8">
      <calculatedColumnFormula>IFERROR(GETPIVOTDATA("[Measures].[Total Sales]",$A$3,"[Products].[Product Name]","[Products].[Product Name].&amp;["&amp;Table2[[#This Row],[Product]]&amp;"]"),"")</calculatedColumnFormula>
    </tableColumn>
    <tableColumn id="3" xr3:uid="{1FBE936C-9525-4D49-A64A-85C160B004CF}" name="Percentag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pivotTable" Target="../pivotTables/pivotTable3.xml"/><Relationship Id="rId7"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8E431-0105-4475-B7A7-B219043AA7ED}">
  <dimension ref="A1:C11"/>
  <sheetViews>
    <sheetView workbookViewId="0">
      <selection activeCell="B6" sqref="B6"/>
    </sheetView>
  </sheetViews>
  <sheetFormatPr defaultRowHeight="14.4" x14ac:dyDescent="0.3"/>
  <cols>
    <col min="1" max="1" width="13.44140625" bestFit="1" customWidth="1"/>
    <col min="2" max="2" width="16.77734375" bestFit="1" customWidth="1"/>
    <col min="3" max="3" width="8.77734375" bestFit="1" customWidth="1"/>
  </cols>
  <sheetData>
    <row r="1" spans="1:3" x14ac:dyDescent="0.3">
      <c r="A1" t="s">
        <v>2</v>
      </c>
      <c r="B1" t="s">
        <v>57</v>
      </c>
      <c r="C1" t="s">
        <v>58</v>
      </c>
    </row>
    <row r="2" spans="1:3" x14ac:dyDescent="0.3">
      <c r="A2" t="s">
        <v>8</v>
      </c>
      <c r="B2" t="s">
        <v>59</v>
      </c>
      <c r="C2" t="s">
        <v>60</v>
      </c>
    </row>
    <row r="3" spans="1:3" x14ac:dyDescent="0.3">
      <c r="A3" t="s">
        <v>12</v>
      </c>
      <c r="B3" t="s">
        <v>61</v>
      </c>
      <c r="C3" t="s">
        <v>62</v>
      </c>
    </row>
    <row r="4" spans="1:3" x14ac:dyDescent="0.3">
      <c r="A4" t="s">
        <v>16</v>
      </c>
      <c r="B4" t="s">
        <v>63</v>
      </c>
      <c r="C4" t="s">
        <v>64</v>
      </c>
    </row>
    <row r="5" spans="1:3" x14ac:dyDescent="0.3">
      <c r="A5" t="s">
        <v>20</v>
      </c>
      <c r="B5" t="s">
        <v>65</v>
      </c>
      <c r="C5" t="s">
        <v>66</v>
      </c>
    </row>
    <row r="6" spans="1:3" x14ac:dyDescent="0.3">
      <c r="A6" t="s">
        <v>24</v>
      </c>
      <c r="B6" t="s">
        <v>67</v>
      </c>
      <c r="C6" t="s">
        <v>60</v>
      </c>
    </row>
    <row r="7" spans="1:3" x14ac:dyDescent="0.3">
      <c r="A7" t="s">
        <v>28</v>
      </c>
      <c r="B7" t="s">
        <v>68</v>
      </c>
      <c r="C7" t="s">
        <v>62</v>
      </c>
    </row>
    <row r="8" spans="1:3" x14ac:dyDescent="0.3">
      <c r="A8" t="s">
        <v>32</v>
      </c>
      <c r="B8" t="s">
        <v>69</v>
      </c>
      <c r="C8" t="s">
        <v>64</v>
      </c>
    </row>
    <row r="9" spans="1:3" x14ac:dyDescent="0.3">
      <c r="A9" t="s">
        <v>36</v>
      </c>
      <c r="B9" t="s">
        <v>70</v>
      </c>
      <c r="C9" t="s">
        <v>66</v>
      </c>
    </row>
    <row r="10" spans="1:3" x14ac:dyDescent="0.3">
      <c r="A10" t="s">
        <v>40</v>
      </c>
      <c r="B10" t="s">
        <v>71</v>
      </c>
      <c r="C10" t="s">
        <v>60</v>
      </c>
    </row>
    <row r="11" spans="1:3" x14ac:dyDescent="0.3">
      <c r="A11" t="s">
        <v>44</v>
      </c>
      <c r="B11" t="s">
        <v>72</v>
      </c>
      <c r="C11" t="s">
        <v>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67989-70B8-4315-BA46-8DFB43B6DE77}">
  <dimension ref="A1:D11"/>
  <sheetViews>
    <sheetView workbookViewId="0">
      <selection activeCell="E24" sqref="E24"/>
    </sheetView>
  </sheetViews>
  <sheetFormatPr defaultRowHeight="14.4" x14ac:dyDescent="0.3"/>
  <cols>
    <col min="1" max="1" width="11.88671875" bestFit="1" customWidth="1"/>
    <col min="2" max="2" width="15.109375" bestFit="1" customWidth="1"/>
    <col min="3" max="3" width="10.88671875" bestFit="1" customWidth="1"/>
    <col min="4" max="4" width="10.77734375" bestFit="1" customWidth="1"/>
  </cols>
  <sheetData>
    <row r="1" spans="1:4" x14ac:dyDescent="0.3">
      <c r="A1" t="s">
        <v>3</v>
      </c>
      <c r="B1" t="s">
        <v>73</v>
      </c>
      <c r="C1" t="s">
        <v>74</v>
      </c>
      <c r="D1" t="s">
        <v>75</v>
      </c>
    </row>
    <row r="2" spans="1:4" x14ac:dyDescent="0.3">
      <c r="A2" t="s">
        <v>9</v>
      </c>
      <c r="B2" t="s">
        <v>76</v>
      </c>
      <c r="C2" t="s">
        <v>77</v>
      </c>
      <c r="D2">
        <v>800</v>
      </c>
    </row>
    <row r="3" spans="1:4" x14ac:dyDescent="0.3">
      <c r="A3" t="s">
        <v>13</v>
      </c>
      <c r="B3" t="s">
        <v>78</v>
      </c>
      <c r="C3" t="s">
        <v>77</v>
      </c>
      <c r="D3">
        <v>500</v>
      </c>
    </row>
    <row r="4" spans="1:4" x14ac:dyDescent="0.3">
      <c r="A4" t="s">
        <v>25</v>
      </c>
      <c r="B4" t="s">
        <v>79</v>
      </c>
      <c r="C4" t="s">
        <v>77</v>
      </c>
      <c r="D4">
        <v>300</v>
      </c>
    </row>
    <row r="5" spans="1:4" x14ac:dyDescent="0.3">
      <c r="A5" t="s">
        <v>33</v>
      </c>
      <c r="B5" t="s">
        <v>80</v>
      </c>
      <c r="C5" t="s">
        <v>77</v>
      </c>
      <c r="D5">
        <v>150</v>
      </c>
    </row>
    <row r="6" spans="1:4" x14ac:dyDescent="0.3">
      <c r="A6" t="s">
        <v>17</v>
      </c>
      <c r="B6" t="s">
        <v>81</v>
      </c>
      <c r="C6" t="s">
        <v>82</v>
      </c>
      <c r="D6">
        <v>120</v>
      </c>
    </row>
    <row r="7" spans="1:4" x14ac:dyDescent="0.3">
      <c r="A7" t="s">
        <v>29</v>
      </c>
      <c r="B7" t="s">
        <v>83</v>
      </c>
      <c r="C7" t="s">
        <v>82</v>
      </c>
      <c r="D7">
        <v>350</v>
      </c>
    </row>
    <row r="8" spans="1:4" x14ac:dyDescent="0.3">
      <c r="A8" t="s">
        <v>21</v>
      </c>
      <c r="B8" t="s">
        <v>84</v>
      </c>
      <c r="C8" t="s">
        <v>85</v>
      </c>
      <c r="D8">
        <v>5</v>
      </c>
    </row>
    <row r="9" spans="1:4" x14ac:dyDescent="0.3">
      <c r="A9" t="s">
        <v>48</v>
      </c>
      <c r="B9" t="s">
        <v>86</v>
      </c>
      <c r="C9" t="s">
        <v>85</v>
      </c>
      <c r="D9">
        <v>10</v>
      </c>
    </row>
    <row r="10" spans="1:4" x14ac:dyDescent="0.3">
      <c r="A10" t="s">
        <v>41</v>
      </c>
      <c r="B10" t="s">
        <v>87</v>
      </c>
      <c r="C10" t="s">
        <v>88</v>
      </c>
      <c r="D10">
        <v>45</v>
      </c>
    </row>
    <row r="11" spans="1:4" x14ac:dyDescent="0.3">
      <c r="A11" t="s">
        <v>37</v>
      </c>
      <c r="B11" t="s">
        <v>89</v>
      </c>
      <c r="C11" t="s">
        <v>77</v>
      </c>
      <c r="D11">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93B8-DFE2-4359-AC3E-755FA034AB03}">
  <dimension ref="A1:C11"/>
  <sheetViews>
    <sheetView workbookViewId="0">
      <selection activeCell="E21" sqref="E21"/>
    </sheetView>
  </sheetViews>
  <sheetFormatPr defaultRowHeight="14.4" x14ac:dyDescent="0.3"/>
  <cols>
    <col min="1" max="1" width="9.77734375" bestFit="1" customWidth="1"/>
    <col min="2" max="2" width="14.6640625" bestFit="1" customWidth="1"/>
    <col min="3" max="3" width="10.88671875" bestFit="1" customWidth="1"/>
  </cols>
  <sheetData>
    <row r="1" spans="1:3" x14ac:dyDescent="0.3">
      <c r="A1" t="s">
        <v>4</v>
      </c>
      <c r="B1" t="s">
        <v>90</v>
      </c>
      <c r="C1" t="s">
        <v>91</v>
      </c>
    </row>
    <row r="2" spans="1:3" x14ac:dyDescent="0.3">
      <c r="A2" t="s">
        <v>10</v>
      </c>
      <c r="B2" t="s">
        <v>92</v>
      </c>
      <c r="C2" t="s">
        <v>93</v>
      </c>
    </row>
    <row r="3" spans="1:3" x14ac:dyDescent="0.3">
      <c r="A3" t="s">
        <v>14</v>
      </c>
      <c r="B3" t="s">
        <v>94</v>
      </c>
      <c r="C3" t="s">
        <v>95</v>
      </c>
    </row>
    <row r="4" spans="1:3" x14ac:dyDescent="0.3">
      <c r="A4" t="s">
        <v>18</v>
      </c>
      <c r="B4" t="s">
        <v>96</v>
      </c>
      <c r="C4" t="s">
        <v>97</v>
      </c>
    </row>
    <row r="5" spans="1:3" x14ac:dyDescent="0.3">
      <c r="A5" t="s">
        <v>22</v>
      </c>
      <c r="B5" t="s">
        <v>98</v>
      </c>
      <c r="C5" t="s">
        <v>99</v>
      </c>
    </row>
    <row r="6" spans="1:3" x14ac:dyDescent="0.3">
      <c r="A6" t="s">
        <v>26</v>
      </c>
      <c r="B6" t="s">
        <v>100</v>
      </c>
      <c r="C6" t="s">
        <v>101</v>
      </c>
    </row>
    <row r="7" spans="1:3" x14ac:dyDescent="0.3">
      <c r="A7" t="s">
        <v>30</v>
      </c>
      <c r="B7" t="s">
        <v>102</v>
      </c>
      <c r="C7" t="s">
        <v>103</v>
      </c>
    </row>
    <row r="8" spans="1:3" x14ac:dyDescent="0.3">
      <c r="A8" t="s">
        <v>34</v>
      </c>
      <c r="B8" t="s">
        <v>104</v>
      </c>
      <c r="C8" t="s">
        <v>105</v>
      </c>
    </row>
    <row r="9" spans="1:3" x14ac:dyDescent="0.3">
      <c r="A9" t="s">
        <v>38</v>
      </c>
      <c r="B9" t="s">
        <v>106</v>
      </c>
      <c r="C9" t="s">
        <v>107</v>
      </c>
    </row>
    <row r="10" spans="1:3" x14ac:dyDescent="0.3">
      <c r="A10" t="s">
        <v>42</v>
      </c>
      <c r="B10" t="s">
        <v>108</v>
      </c>
      <c r="C10" t="s">
        <v>109</v>
      </c>
    </row>
    <row r="11" spans="1:3" x14ac:dyDescent="0.3">
      <c r="A11" t="s">
        <v>45</v>
      </c>
      <c r="B11" t="s">
        <v>110</v>
      </c>
      <c r="C11" t="s">
        <v>111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C85FE-F044-40C8-9BF9-F5434FB941EF}">
  <dimension ref="A1:G21"/>
  <sheetViews>
    <sheetView workbookViewId="0">
      <selection activeCell="G24" sqref="G24"/>
    </sheetView>
  </sheetViews>
  <sheetFormatPr defaultRowHeight="14.4" x14ac:dyDescent="0.3"/>
  <cols>
    <col min="1" max="1" width="10.109375" bestFit="1" customWidth="1"/>
    <col min="2" max="2" width="12.21875" bestFit="1" customWidth="1"/>
    <col min="3" max="3" width="13.44140625" bestFit="1" customWidth="1"/>
    <col min="4" max="4" width="11.88671875" bestFit="1" customWidth="1"/>
    <col min="5" max="5" width="9.77734375" bestFit="1" customWidth="1"/>
    <col min="6" max="6" width="10.33203125" bestFit="1" customWidth="1"/>
    <col min="7" max="7" width="14.5546875" bestFit="1" customWidth="1"/>
  </cols>
  <sheetData>
    <row r="1" spans="1:7" x14ac:dyDescent="0.3">
      <c r="A1" t="s">
        <v>0</v>
      </c>
      <c r="B1" t="s">
        <v>1</v>
      </c>
      <c r="C1" t="s">
        <v>2</v>
      </c>
      <c r="D1" t="s">
        <v>3</v>
      </c>
      <c r="E1" t="s">
        <v>4</v>
      </c>
      <c r="F1" t="s">
        <v>5</v>
      </c>
      <c r="G1" t="s">
        <v>6</v>
      </c>
    </row>
    <row r="2" spans="1:7" x14ac:dyDescent="0.3">
      <c r="A2" t="s">
        <v>7</v>
      </c>
      <c r="B2" s="1">
        <v>46032</v>
      </c>
      <c r="C2" t="s">
        <v>8</v>
      </c>
      <c r="D2" t="s">
        <v>9</v>
      </c>
      <c r="E2" t="s">
        <v>10</v>
      </c>
      <c r="F2">
        <v>2</v>
      </c>
      <c r="G2">
        <v>1920</v>
      </c>
    </row>
    <row r="3" spans="1:7" x14ac:dyDescent="0.3">
      <c r="A3" t="s">
        <v>11</v>
      </c>
      <c r="B3" s="1">
        <v>46034</v>
      </c>
      <c r="C3" t="s">
        <v>12</v>
      </c>
      <c r="D3" t="s">
        <v>13</v>
      </c>
      <c r="E3" t="s">
        <v>14</v>
      </c>
      <c r="F3">
        <v>3</v>
      </c>
      <c r="G3">
        <v>1800</v>
      </c>
    </row>
    <row r="4" spans="1:7" x14ac:dyDescent="0.3">
      <c r="A4" t="s">
        <v>15</v>
      </c>
      <c r="B4" s="1">
        <v>46037</v>
      </c>
      <c r="C4" t="s">
        <v>16</v>
      </c>
      <c r="D4" t="s">
        <v>17</v>
      </c>
      <c r="E4" t="s">
        <v>18</v>
      </c>
      <c r="F4">
        <v>4</v>
      </c>
      <c r="G4">
        <v>600</v>
      </c>
    </row>
    <row r="5" spans="1:7" x14ac:dyDescent="0.3">
      <c r="A5" t="s">
        <v>19</v>
      </c>
      <c r="B5" s="1">
        <v>46040</v>
      </c>
      <c r="C5" t="s">
        <v>20</v>
      </c>
      <c r="D5" t="s">
        <v>21</v>
      </c>
      <c r="E5" t="s">
        <v>22</v>
      </c>
      <c r="F5">
        <v>10</v>
      </c>
      <c r="G5">
        <v>65</v>
      </c>
    </row>
    <row r="6" spans="1:7" x14ac:dyDescent="0.3">
      <c r="A6" t="s">
        <v>23</v>
      </c>
      <c r="B6" s="1">
        <v>46044</v>
      </c>
      <c r="C6" t="s">
        <v>24</v>
      </c>
      <c r="D6" t="s">
        <v>25</v>
      </c>
      <c r="E6" t="s">
        <v>26</v>
      </c>
      <c r="F6">
        <v>2</v>
      </c>
      <c r="G6">
        <v>750</v>
      </c>
    </row>
    <row r="7" spans="1:7" x14ac:dyDescent="0.3">
      <c r="A7" t="s">
        <v>27</v>
      </c>
      <c r="B7" s="1">
        <v>46054</v>
      </c>
      <c r="C7" t="s">
        <v>28</v>
      </c>
      <c r="D7" t="s">
        <v>29</v>
      </c>
      <c r="E7" t="s">
        <v>30</v>
      </c>
      <c r="F7">
        <v>1</v>
      </c>
      <c r="G7">
        <v>420</v>
      </c>
    </row>
    <row r="8" spans="1:7" x14ac:dyDescent="0.3">
      <c r="A8" t="s">
        <v>31</v>
      </c>
      <c r="B8" s="1">
        <v>46058</v>
      </c>
      <c r="C8" t="s">
        <v>32</v>
      </c>
      <c r="D8" t="s">
        <v>33</v>
      </c>
      <c r="E8" t="s">
        <v>34</v>
      </c>
      <c r="F8">
        <v>5</v>
      </c>
      <c r="G8">
        <v>900</v>
      </c>
    </row>
    <row r="9" spans="1:7" x14ac:dyDescent="0.3">
      <c r="A9" t="s">
        <v>35</v>
      </c>
      <c r="B9" s="1">
        <v>46063</v>
      </c>
      <c r="C9" t="s">
        <v>36</v>
      </c>
      <c r="D9" t="s">
        <v>37</v>
      </c>
      <c r="E9" t="s">
        <v>38</v>
      </c>
      <c r="F9">
        <v>6</v>
      </c>
      <c r="G9">
        <v>180</v>
      </c>
    </row>
    <row r="10" spans="1:7" x14ac:dyDescent="0.3">
      <c r="A10" t="s">
        <v>39</v>
      </c>
      <c r="B10" s="1">
        <v>46067</v>
      </c>
      <c r="C10" t="s">
        <v>40</v>
      </c>
      <c r="D10" t="s">
        <v>41</v>
      </c>
      <c r="E10" t="s">
        <v>42</v>
      </c>
      <c r="F10">
        <v>3</v>
      </c>
      <c r="G10">
        <v>162</v>
      </c>
    </row>
    <row r="11" spans="1:7" x14ac:dyDescent="0.3">
      <c r="A11" t="s">
        <v>43</v>
      </c>
      <c r="B11" s="1">
        <v>46073</v>
      </c>
      <c r="C11" t="s">
        <v>44</v>
      </c>
      <c r="D11" t="s">
        <v>9</v>
      </c>
      <c r="E11" t="s">
        <v>45</v>
      </c>
      <c r="F11">
        <v>1</v>
      </c>
      <c r="G11">
        <v>960</v>
      </c>
    </row>
    <row r="12" spans="1:7" x14ac:dyDescent="0.3">
      <c r="A12" t="s">
        <v>46</v>
      </c>
      <c r="B12" s="1">
        <v>46083</v>
      </c>
      <c r="C12" t="s">
        <v>8</v>
      </c>
      <c r="D12" t="s">
        <v>13</v>
      </c>
      <c r="E12" t="s">
        <v>18</v>
      </c>
      <c r="F12">
        <v>2</v>
      </c>
      <c r="G12">
        <v>1200</v>
      </c>
    </row>
    <row r="13" spans="1:7" x14ac:dyDescent="0.3">
      <c r="A13" t="s">
        <v>47</v>
      </c>
      <c r="B13" s="1">
        <v>46086</v>
      </c>
      <c r="C13" t="s">
        <v>16</v>
      </c>
      <c r="D13" t="s">
        <v>48</v>
      </c>
      <c r="E13" t="s">
        <v>10</v>
      </c>
      <c r="F13">
        <v>8</v>
      </c>
      <c r="G13">
        <v>96</v>
      </c>
    </row>
    <row r="14" spans="1:7" x14ac:dyDescent="0.3">
      <c r="A14" t="s">
        <v>49</v>
      </c>
      <c r="B14" s="1">
        <v>46092</v>
      </c>
      <c r="C14" t="s">
        <v>24</v>
      </c>
      <c r="D14" t="s">
        <v>17</v>
      </c>
      <c r="E14" t="s">
        <v>14</v>
      </c>
      <c r="F14">
        <v>2</v>
      </c>
      <c r="G14">
        <v>300</v>
      </c>
    </row>
    <row r="15" spans="1:7" x14ac:dyDescent="0.3">
      <c r="A15" t="s">
        <v>50</v>
      </c>
      <c r="B15" s="1">
        <v>46096</v>
      </c>
      <c r="C15" t="s">
        <v>12</v>
      </c>
      <c r="D15" t="s">
        <v>25</v>
      </c>
      <c r="E15" t="s">
        <v>22</v>
      </c>
      <c r="F15">
        <v>4</v>
      </c>
      <c r="G15">
        <v>1500</v>
      </c>
    </row>
    <row r="16" spans="1:7" x14ac:dyDescent="0.3">
      <c r="A16" t="s">
        <v>51</v>
      </c>
      <c r="B16" s="1">
        <v>46101</v>
      </c>
      <c r="C16" t="s">
        <v>20</v>
      </c>
      <c r="D16" t="s">
        <v>29</v>
      </c>
      <c r="E16" t="s">
        <v>26</v>
      </c>
      <c r="F16">
        <v>2</v>
      </c>
      <c r="G16">
        <v>840</v>
      </c>
    </row>
    <row r="17" spans="1:7" x14ac:dyDescent="0.3">
      <c r="A17" t="s">
        <v>52</v>
      </c>
      <c r="B17" s="1">
        <v>46113</v>
      </c>
      <c r="C17" t="s">
        <v>28</v>
      </c>
      <c r="D17" t="s">
        <v>37</v>
      </c>
      <c r="E17" t="s">
        <v>30</v>
      </c>
      <c r="F17">
        <v>5</v>
      </c>
      <c r="G17">
        <v>150</v>
      </c>
    </row>
    <row r="18" spans="1:7" x14ac:dyDescent="0.3">
      <c r="A18" t="s">
        <v>53</v>
      </c>
      <c r="B18" s="1">
        <v>46118</v>
      </c>
      <c r="C18" t="s">
        <v>32</v>
      </c>
      <c r="D18" t="s">
        <v>9</v>
      </c>
      <c r="E18" t="s">
        <v>34</v>
      </c>
      <c r="F18">
        <v>1</v>
      </c>
      <c r="G18">
        <v>960</v>
      </c>
    </row>
    <row r="19" spans="1:7" x14ac:dyDescent="0.3">
      <c r="A19" t="s">
        <v>54</v>
      </c>
      <c r="B19" s="1">
        <v>46124</v>
      </c>
      <c r="C19" t="s">
        <v>40</v>
      </c>
      <c r="D19" t="s">
        <v>33</v>
      </c>
      <c r="E19" t="s">
        <v>38</v>
      </c>
      <c r="F19">
        <v>3</v>
      </c>
      <c r="G19">
        <v>540</v>
      </c>
    </row>
    <row r="20" spans="1:7" x14ac:dyDescent="0.3">
      <c r="A20" t="s">
        <v>55</v>
      </c>
      <c r="B20" s="1">
        <v>46130</v>
      </c>
      <c r="C20" t="s">
        <v>36</v>
      </c>
      <c r="D20" t="s">
        <v>21</v>
      </c>
      <c r="E20" t="s">
        <v>42</v>
      </c>
      <c r="F20">
        <v>20</v>
      </c>
      <c r="G20">
        <v>130</v>
      </c>
    </row>
    <row r="21" spans="1:7" x14ac:dyDescent="0.3">
      <c r="A21" t="s">
        <v>56</v>
      </c>
      <c r="B21" s="1">
        <v>46137</v>
      </c>
      <c r="C21" t="s">
        <v>44</v>
      </c>
      <c r="D21" t="s">
        <v>13</v>
      </c>
      <c r="E21" t="s">
        <v>45</v>
      </c>
      <c r="F21">
        <v>3</v>
      </c>
      <c r="G21">
        <v>1800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8C493-4947-46C6-9756-1CFCB8F4E415}">
  <dimension ref="A3:U29"/>
  <sheetViews>
    <sheetView workbookViewId="0">
      <selection activeCell="B7" sqref="B7"/>
    </sheetView>
  </sheetViews>
  <sheetFormatPr defaultRowHeight="14.4" x14ac:dyDescent="0.3"/>
  <cols>
    <col min="1" max="1" width="13.77734375" bestFit="1" customWidth="1"/>
    <col min="2" max="2" width="10" bestFit="1" customWidth="1"/>
    <col min="3" max="3" width="9.109375" customWidth="1"/>
    <col min="4" max="4" width="12.44140625" bestFit="1" customWidth="1"/>
    <col min="5" max="5" width="10" bestFit="1" customWidth="1"/>
    <col min="6" max="6" width="8.88671875" customWidth="1"/>
    <col min="7" max="7" width="10" customWidth="1"/>
    <col min="8" max="8" width="1.44140625" customWidth="1"/>
    <col min="9" max="9" width="1.21875" customWidth="1"/>
    <col min="10" max="10" width="9.21875" bestFit="1" customWidth="1"/>
    <col min="11" max="11" width="1.77734375" customWidth="1"/>
    <col min="12" max="12" width="1.33203125" customWidth="1"/>
    <col min="13" max="13" width="10" bestFit="1" customWidth="1"/>
    <col min="14" max="14" width="1.33203125" customWidth="1"/>
    <col min="15" max="15" width="1.6640625" customWidth="1"/>
    <col min="16" max="16" width="15.33203125" bestFit="1" customWidth="1"/>
    <col min="18" max="21" width="16" customWidth="1"/>
  </cols>
  <sheetData>
    <row r="3" spans="1:21" x14ac:dyDescent="0.3">
      <c r="A3" s="2" t="s">
        <v>112</v>
      </c>
      <c r="B3" t="s">
        <v>114</v>
      </c>
      <c r="D3" s="2" t="s">
        <v>112</v>
      </c>
      <c r="E3" t="s">
        <v>114</v>
      </c>
      <c r="G3" t="s">
        <v>114</v>
      </c>
      <c r="J3" t="s">
        <v>115</v>
      </c>
      <c r="M3" t="s">
        <v>116</v>
      </c>
      <c r="P3" t="s">
        <v>117</v>
      </c>
      <c r="R3" s="9" t="s">
        <v>114</v>
      </c>
      <c r="S3" s="9" t="s">
        <v>115</v>
      </c>
      <c r="T3" s="9" t="s">
        <v>116</v>
      </c>
      <c r="U3" s="9" t="s">
        <v>117</v>
      </c>
    </row>
    <row r="4" spans="1:21" x14ac:dyDescent="0.3">
      <c r="A4" s="3" t="s">
        <v>87</v>
      </c>
      <c r="B4" s="11">
        <v>162</v>
      </c>
      <c r="D4" s="3" t="s">
        <v>64</v>
      </c>
      <c r="E4" s="11">
        <v>2556</v>
      </c>
      <c r="G4" s="11">
        <v>15273</v>
      </c>
      <c r="J4" s="11">
        <v>12610</v>
      </c>
      <c r="M4" s="11">
        <v>2663</v>
      </c>
      <c r="P4" s="7">
        <v>0.17435998166699404</v>
      </c>
      <c r="R4" s="9">
        <f>IFERROR(GETPIVOTDATA("[Measures].[Total Sales]",$G$3),"")</f>
        <v>15273</v>
      </c>
      <c r="S4" s="9">
        <f>IFERROR(GETPIVOTDATA("[Measures].[Total Cost]",$J$3),"")</f>
        <v>12610</v>
      </c>
      <c r="T4" s="9">
        <f>IFERROR(GETPIVOTDATA("[Measures].[Total Profit]",$M$3),"")</f>
        <v>2663</v>
      </c>
      <c r="U4" s="10">
        <f>IFERROR(GETPIVOTDATA("[Measures].[Profit Percentage]",$P$3),"")</f>
        <v>0.17435998166699404</v>
      </c>
    </row>
    <row r="5" spans="1:21" x14ac:dyDescent="0.3">
      <c r="A5" s="3" t="s">
        <v>76</v>
      </c>
      <c r="B5" s="11">
        <v>3840</v>
      </c>
      <c r="D5" s="3" t="s">
        <v>60</v>
      </c>
      <c r="E5" s="11">
        <v>4872</v>
      </c>
      <c r="R5" s="9"/>
      <c r="S5" s="9"/>
      <c r="T5" s="9"/>
      <c r="U5" s="9"/>
    </row>
    <row r="6" spans="1:21" x14ac:dyDescent="0.3">
      <c r="A6" s="3" t="s">
        <v>80</v>
      </c>
      <c r="B6" s="11">
        <v>1440</v>
      </c>
      <c r="D6" s="3" t="s">
        <v>62</v>
      </c>
      <c r="E6" s="11">
        <v>6630</v>
      </c>
      <c r="R6" s="9" t="s">
        <v>126</v>
      </c>
      <c r="S6" s="9" t="s">
        <v>127</v>
      </c>
      <c r="T6" s="9"/>
      <c r="U6" s="9"/>
    </row>
    <row r="7" spans="1:21" x14ac:dyDescent="0.3">
      <c r="A7" s="3" t="s">
        <v>84</v>
      </c>
      <c r="B7" s="11">
        <v>195</v>
      </c>
      <c r="D7" s="3" t="s">
        <v>66</v>
      </c>
      <c r="E7" s="11">
        <v>1215</v>
      </c>
      <c r="G7" s="4" t="s">
        <v>120</v>
      </c>
      <c r="J7" s="4"/>
      <c r="M7" s="4" t="s">
        <v>116</v>
      </c>
      <c r="N7" s="5"/>
      <c r="O7" s="5"/>
      <c r="P7" s="4" t="s">
        <v>118</v>
      </c>
    </row>
    <row r="8" spans="1:21" x14ac:dyDescent="0.3">
      <c r="A8" s="3" t="s">
        <v>81</v>
      </c>
      <c r="B8" s="11">
        <v>900</v>
      </c>
      <c r="D8" s="3" t="s">
        <v>113</v>
      </c>
      <c r="E8" s="11">
        <v>15273</v>
      </c>
    </row>
    <row r="9" spans="1:21" x14ac:dyDescent="0.3">
      <c r="A9" s="3" t="s">
        <v>86</v>
      </c>
      <c r="B9" s="11">
        <v>96</v>
      </c>
    </row>
    <row r="10" spans="1:21" x14ac:dyDescent="0.3">
      <c r="A10" s="3" t="s">
        <v>78</v>
      </c>
      <c r="B10" s="11">
        <v>4800</v>
      </c>
    </row>
    <row r="11" spans="1:21" x14ac:dyDescent="0.3">
      <c r="A11" s="3" t="s">
        <v>83</v>
      </c>
      <c r="B11" s="11">
        <v>1260</v>
      </c>
    </row>
    <row r="12" spans="1:21" x14ac:dyDescent="0.3">
      <c r="A12" s="3" t="s">
        <v>79</v>
      </c>
      <c r="B12" s="11">
        <v>2250</v>
      </c>
    </row>
    <row r="13" spans="1:21" x14ac:dyDescent="0.3">
      <c r="A13" s="3" t="s">
        <v>89</v>
      </c>
      <c r="B13" s="11">
        <v>330</v>
      </c>
    </row>
    <row r="14" spans="1:21" x14ac:dyDescent="0.3">
      <c r="A14" s="3" t="s">
        <v>113</v>
      </c>
      <c r="B14" s="11">
        <v>15273</v>
      </c>
    </row>
    <row r="17" spans="1:9" x14ac:dyDescent="0.3">
      <c r="A17" t="s">
        <v>119</v>
      </c>
      <c r="B17" t="s">
        <v>114</v>
      </c>
      <c r="C17" t="s">
        <v>121</v>
      </c>
      <c r="D17" t="s">
        <v>58</v>
      </c>
      <c r="E17" t="s">
        <v>114</v>
      </c>
      <c r="F17" t="s">
        <v>121</v>
      </c>
    </row>
    <row r="18" spans="1:9" x14ac:dyDescent="0.3">
      <c r="A18" s="3" t="s">
        <v>87</v>
      </c>
      <c r="B18">
        <f>IFERROR(GETPIVOTDATA("[Measures].[Total Sales]",$A$3,"[Products].[Product Name]","[Products].[Product Name].&amp;["&amp;Table2[[#This Row],[Product]]&amp;"]"),"")</f>
        <v>162</v>
      </c>
      <c r="C18" s="8">
        <f>SUM(Table2[[#This Row],[Total Sales]])/SUBTOTAL(109,$B$18:$B$27)</f>
        <v>1.060695344725987E-2</v>
      </c>
      <c r="D18" s="3" t="s">
        <v>64</v>
      </c>
      <c r="E18">
        <f t="shared" ref="E18:E23" si="0">IFERROR(GETPIVOTDATA("[Measures].[Total Sales]", $D$3, "[customers].[Region]", "[customers].[Region].&amp;[" &amp; D18 &amp; "]"),"")</f>
        <v>2556</v>
      </c>
      <c r="F18" s="8">
        <f>SUM(Table1[[#This Row],[Total Sales]])/SUBTOTAL(109,$E$18:$E$21)</f>
        <v>0.16735415439010018</v>
      </c>
    </row>
    <row r="19" spans="1:9" x14ac:dyDescent="0.3">
      <c r="A19" s="3" t="s">
        <v>76</v>
      </c>
      <c r="B19">
        <f>IFERROR(GETPIVOTDATA("[Measures].[Total Sales]",$A$3,"[Products].[Product Name]","[Products].[Product Name].&amp;["&amp;Table2[[#This Row],[Product]]&amp;"]"),"")</f>
        <v>3840</v>
      </c>
      <c r="C19" s="8">
        <f>SUM(Table2[[#This Row],[Total Sales]])/SUBTOTAL(109,$B$18:$B$27)</f>
        <v>0.25142408171282654</v>
      </c>
      <c r="D19" s="3" t="s">
        <v>60</v>
      </c>
      <c r="E19">
        <f t="shared" si="0"/>
        <v>4872</v>
      </c>
      <c r="F19" s="8">
        <f>SUM(Table1[[#This Row],[Total Sales]])/SUBTOTAL(109,$E$18:$E$21)</f>
        <v>0.31899430367314868</v>
      </c>
    </row>
    <row r="20" spans="1:9" x14ac:dyDescent="0.3">
      <c r="A20" s="3" t="s">
        <v>80</v>
      </c>
      <c r="B20">
        <f>IFERROR(GETPIVOTDATA("[Measures].[Total Sales]",$A$3,"[Products].[Product Name]","[Products].[Product Name].&amp;["&amp;Table2[[#This Row],[Product]]&amp;"]"),"")</f>
        <v>1440</v>
      </c>
      <c r="C20" s="8">
        <f>SUM(Table2[[#This Row],[Total Sales]])/SUBTOTAL(109,$B$18:$B$27)</f>
        <v>9.428403064230996E-2</v>
      </c>
      <c r="D20" s="3" t="s">
        <v>62</v>
      </c>
      <c r="E20">
        <f t="shared" si="0"/>
        <v>6630</v>
      </c>
      <c r="F20" s="8">
        <f>SUM(Table1[[#This Row],[Total Sales]])/SUBTOTAL(109,$E$18:$E$21)</f>
        <v>0.43409939108230211</v>
      </c>
    </row>
    <row r="21" spans="1:9" x14ac:dyDescent="0.3">
      <c r="A21" s="3" t="s">
        <v>84</v>
      </c>
      <c r="B21">
        <f>IFERROR(GETPIVOTDATA("[Measures].[Total Sales]",$A$3,"[Products].[Product Name]","[Products].[Product Name].&amp;["&amp;Table2[[#This Row],[Product]]&amp;"]"),"")</f>
        <v>195</v>
      </c>
      <c r="C21" s="8">
        <f>SUM(Table2[[#This Row],[Total Sales]])/SUBTOTAL(109,$B$18:$B$27)</f>
        <v>1.2767629149479473E-2</v>
      </c>
      <c r="D21" s="3" t="s">
        <v>66</v>
      </c>
      <c r="E21">
        <f t="shared" si="0"/>
        <v>1215</v>
      </c>
      <c r="F21" s="8">
        <f>SUM(Table1[[#This Row],[Total Sales]])/SUBTOTAL(109,$E$18:$E$21)</f>
        <v>7.9552150854449027E-2</v>
      </c>
    </row>
    <row r="22" spans="1:9" x14ac:dyDescent="0.3">
      <c r="A22" s="3" t="s">
        <v>81</v>
      </c>
      <c r="B22">
        <f>IFERROR(GETPIVOTDATA("[Measures].[Total Sales]",$A$3,"[Products].[Product Name]","[Products].[Product Name].&amp;["&amp;Table2[[#This Row],[Product]]&amp;"]"),"")</f>
        <v>900</v>
      </c>
      <c r="C22" s="8">
        <f>SUM(Table2[[#This Row],[Total Sales]])/SUBTOTAL(109,$B$18:$B$27)</f>
        <v>5.8927519151443723E-2</v>
      </c>
      <c r="E22" t="str">
        <f t="shared" si="0"/>
        <v/>
      </c>
    </row>
    <row r="23" spans="1:9" x14ac:dyDescent="0.3">
      <c r="A23" s="3" t="s">
        <v>86</v>
      </c>
      <c r="B23">
        <f>IFERROR(GETPIVOTDATA("[Measures].[Total Sales]",$A$3,"[Products].[Product Name]","[Products].[Product Name].&amp;["&amp;Table2[[#This Row],[Product]]&amp;"]"),"")</f>
        <v>96</v>
      </c>
      <c r="C23" s="8">
        <f>SUM(Table2[[#This Row],[Total Sales]])/SUBTOTAL(109,$B$18:$B$27)</f>
        <v>6.2856020428206641E-3</v>
      </c>
      <c r="E23" t="str">
        <f t="shared" si="0"/>
        <v/>
      </c>
    </row>
    <row r="24" spans="1:9" x14ac:dyDescent="0.3">
      <c r="A24" s="3" t="s">
        <v>78</v>
      </c>
      <c r="B24">
        <f>IFERROR(GETPIVOTDATA("[Measures].[Total Sales]",$A$3,"[Products].[Product Name]","[Products].[Product Name].&amp;["&amp;Table2[[#This Row],[Product]]&amp;"]"),"")</f>
        <v>4800</v>
      </c>
      <c r="C24" s="8">
        <f>SUM(Table2[[#This Row],[Total Sales]])/SUBTOTAL(109,$B$18:$B$27)</f>
        <v>0.31428010214103319</v>
      </c>
    </row>
    <row r="25" spans="1:9" x14ac:dyDescent="0.3">
      <c r="A25" s="3" t="s">
        <v>83</v>
      </c>
      <c r="B25">
        <f>IFERROR(GETPIVOTDATA("[Measures].[Total Sales]",$A$3,"[Products].[Product Name]","[Products].[Product Name].&amp;["&amp;Table2[[#This Row],[Product]]&amp;"]"),"")</f>
        <v>1260</v>
      </c>
      <c r="C25" s="8">
        <f>SUM(Table2[[#This Row],[Total Sales]])/SUBTOTAL(109,$B$18:$B$27)</f>
        <v>8.2498526812021217E-2</v>
      </c>
      <c r="E25" s="3"/>
      <c r="F25" s="3"/>
      <c r="G25" s="3"/>
      <c r="H25" s="3"/>
      <c r="I25" s="3"/>
    </row>
    <row r="26" spans="1:9" x14ac:dyDescent="0.3">
      <c r="A26" s="3" t="s">
        <v>79</v>
      </c>
      <c r="B26">
        <f>IFERROR(GETPIVOTDATA("[Measures].[Total Sales]",$A$3,"[Products].[Product Name]","[Products].[Product Name].&amp;["&amp;Table2[[#This Row],[Product]]&amp;"]"),"")</f>
        <v>2250</v>
      </c>
      <c r="C26" s="8">
        <f>SUM(Table2[[#This Row],[Total Sales]])/SUBTOTAL(109,$B$18:$B$27)</f>
        <v>0.1473187978786093</v>
      </c>
    </row>
    <row r="27" spans="1:9" x14ac:dyDescent="0.3">
      <c r="A27" s="3" t="s">
        <v>89</v>
      </c>
      <c r="B27">
        <f>IFERROR(GETPIVOTDATA("[Measures].[Total Sales]",$A$3,"[Products].[Product Name]","[Products].[Product Name].&amp;["&amp;Table2[[#This Row],[Product]]&amp;"]"),"")</f>
        <v>330</v>
      </c>
      <c r="C27" s="8">
        <f>SUM(Table2[[#This Row],[Total Sales]])/SUBTOTAL(109,$B$18:$B$27)</f>
        <v>2.1606757022196034E-2</v>
      </c>
    </row>
    <row r="28" spans="1:9" x14ac:dyDescent="0.3">
      <c r="B28" t="str">
        <f>IFERROR(GETPIVOTDATA("[Measures].[Total Sales]",$A$3,"[Products].[Product Name]","[Products].[Product Name].&amp;["&amp;Table2[[#This Row],[Product]]&amp;"]"),"")</f>
        <v/>
      </c>
    </row>
    <row r="29" spans="1:9" x14ac:dyDescent="0.3">
      <c r="B29" t="str">
        <f>IFERROR(GETPIVOTDATA("[Measures].[Total Sales]",$A$3,"[Products].[Product Name]","[Products].[Product Name].&amp;["&amp;Table2[[#This Row],[Product]]&amp;"]"),"")</f>
        <v/>
      </c>
    </row>
  </sheetData>
  <pageMargins left="0.7" right="0.7" top="0.75" bottom="0.75" header="0.3" footer="0.3"/>
  <tableParts count="2">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53B46-1E60-4324-B6B9-5DB456AE60C2}">
  <dimension ref="A1"/>
  <sheetViews>
    <sheetView showGridLines="0" tabSelected="1" zoomScale="95" workbookViewId="0">
      <selection activeCell="S5" sqref="S5"/>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FC6AC783-E61E-400B-873E-4F6BEF9E62ED}">
  <ds:schemaRefs/>
</ds:datastoreItem>
</file>

<file path=customXml/itemProps2.xml><?xml version="1.0" encoding="utf-8"?>
<ds:datastoreItem xmlns:ds="http://schemas.openxmlformats.org/officeDocument/2006/customXml" ds:itemID="{26ABA662-43C3-4486-B045-0A0F9C36FACE}">
  <ds:schemaRefs/>
</ds:datastoreItem>
</file>

<file path=customXml/itemProps3.xml><?xml version="1.0" encoding="utf-8"?>
<ds:datastoreItem xmlns:ds="http://schemas.openxmlformats.org/officeDocument/2006/customXml" ds:itemID="{A8D69800-C205-4424-8625-6F88BEFF034A}">
  <ds:schemaRefs/>
</ds:datastoreItem>
</file>

<file path=customXml/itemProps4.xml><?xml version="1.0" encoding="utf-8"?>
<ds:datastoreItem xmlns:ds="http://schemas.openxmlformats.org/officeDocument/2006/customXml" ds:itemID="{A14E0F87-726A-4557-8945-3086F1631582}">
  <ds:schemaRefs/>
</ds:datastoreItem>
</file>

<file path=customXml/itemProps5.xml><?xml version="1.0" encoding="utf-8"?>
<ds:datastoreItem xmlns:ds="http://schemas.openxmlformats.org/officeDocument/2006/customXml" ds:itemID="{A15ADD81-6F77-44B3-A580-9A21D964A072}">
  <ds:schemaRefs/>
</ds:datastoreItem>
</file>

<file path=customXml/itemProps6.xml><?xml version="1.0" encoding="utf-8"?>
<ds:datastoreItem xmlns:ds="http://schemas.openxmlformats.org/officeDocument/2006/customXml" ds:itemID="{4554A577-55C3-450C-9676-302D0D44F869}">
  <ds:schemaRefs/>
</ds:datastoreItem>
</file>

<file path=customXml/itemProps7.xml><?xml version="1.0" encoding="utf-8"?>
<ds:datastoreItem xmlns:ds="http://schemas.openxmlformats.org/officeDocument/2006/customXml" ds:itemID="{AF392C09-12E9-427B-AB75-4338FDDA4EEC}">
  <ds:schemaRefs/>
</ds:datastoreItem>
</file>

<file path=customXml/itemProps8.xml><?xml version="1.0" encoding="utf-8"?>
<ds:datastoreItem xmlns:ds="http://schemas.openxmlformats.org/officeDocument/2006/customXml" ds:itemID="{B4EAF0B7-4834-45DC-AB10-46650609B120}">
  <ds:schemaRefs/>
</ds:datastoreItem>
</file>

<file path=customXml/itemProps9.xml><?xml version="1.0" encoding="utf-8"?>
<ds:datastoreItem xmlns:ds="http://schemas.openxmlformats.org/officeDocument/2006/customXml" ds:itemID="{4E5CAA3A-53FB-4BF2-9906-42AF499588CE}">
  <ds:schemaRefs/>
</ds:datastoreItem>
</file>

<file path=customXml/itemProps10.xml><?xml version="1.0" encoding="utf-8"?>
<ds:datastoreItem xmlns:ds="http://schemas.openxmlformats.org/officeDocument/2006/customXml" ds:itemID="{0549332F-C21F-4247-87AE-8774BE516513}">
  <ds:schemaRefs/>
</ds:datastoreItem>
</file>

<file path=customXml/itemProps11.xml><?xml version="1.0" encoding="utf-8"?>
<ds:datastoreItem xmlns:ds="http://schemas.openxmlformats.org/officeDocument/2006/customXml" ds:itemID="{25803787-BD06-4E06-A5F9-45DEB759C948}">
  <ds:schemaRefs/>
</ds:datastoreItem>
</file>

<file path=customXml/itemProps12.xml><?xml version="1.0" encoding="utf-8"?>
<ds:datastoreItem xmlns:ds="http://schemas.openxmlformats.org/officeDocument/2006/customXml" ds:itemID="{12FA34A5-356A-420A-B45F-77F17A75EB57}">
  <ds:schemaRefs/>
</ds:datastoreItem>
</file>

<file path=customXml/itemProps13.xml><?xml version="1.0" encoding="utf-8"?>
<ds:datastoreItem xmlns:ds="http://schemas.openxmlformats.org/officeDocument/2006/customXml" ds:itemID="{9DACB6A9-96FF-4C41-86C2-175D6ED55D76}">
  <ds:schemaRefs/>
</ds:datastoreItem>
</file>

<file path=customXml/itemProps14.xml><?xml version="1.0" encoding="utf-8"?>
<ds:datastoreItem xmlns:ds="http://schemas.openxmlformats.org/officeDocument/2006/customXml" ds:itemID="{55598577-C022-483A-95EC-3CF5BE613348}">
  <ds:schemaRefs/>
</ds:datastoreItem>
</file>

<file path=customXml/itemProps15.xml><?xml version="1.0" encoding="utf-8"?>
<ds:datastoreItem xmlns:ds="http://schemas.openxmlformats.org/officeDocument/2006/customXml" ds:itemID="{51DC67B1-AC31-42AB-9511-78CB878B97F1}">
  <ds:schemaRefs/>
</ds:datastoreItem>
</file>

<file path=customXml/itemProps16.xml><?xml version="1.0" encoding="utf-8"?>
<ds:datastoreItem xmlns:ds="http://schemas.openxmlformats.org/officeDocument/2006/customXml" ds:itemID="{189FEC3F-55A9-4DAF-8DA1-4AABB80BC86E}">
  <ds:schemaRefs/>
</ds:datastoreItem>
</file>

<file path=customXml/itemProps17.xml><?xml version="1.0" encoding="utf-8"?>
<ds:datastoreItem xmlns:ds="http://schemas.openxmlformats.org/officeDocument/2006/customXml" ds:itemID="{A7C52A3E-23A3-46BA-AA08-2FB71448A206}">
  <ds:schemaRefs/>
</ds:datastoreItem>
</file>

<file path=customXml/itemProps18.xml><?xml version="1.0" encoding="utf-8"?>
<ds:datastoreItem xmlns:ds="http://schemas.openxmlformats.org/officeDocument/2006/customXml" ds:itemID="{036C7454-B969-42DB-AAA2-88F2A7249CC7}">
  <ds:schemaRefs/>
</ds:datastoreItem>
</file>

<file path=customXml/itemProps19.xml><?xml version="1.0" encoding="utf-8"?>
<ds:datastoreItem xmlns:ds="http://schemas.openxmlformats.org/officeDocument/2006/customXml" ds:itemID="{DD55ACA0-D64E-4A07-AA22-68E62A7202CE}">
  <ds:schemaRefs/>
</ds:datastoreItem>
</file>

<file path=customXml/itemProps20.xml><?xml version="1.0" encoding="utf-8"?>
<ds:datastoreItem xmlns:ds="http://schemas.openxmlformats.org/officeDocument/2006/customXml" ds:itemID="{684AF4E9-44EE-473B-8BB2-DCAA2FED6CE4}">
  <ds:schemaRefs/>
</ds:datastoreItem>
</file>

<file path=customXml/itemProps21.xml><?xml version="1.0" encoding="utf-8"?>
<ds:datastoreItem xmlns:ds="http://schemas.openxmlformats.org/officeDocument/2006/customXml" ds:itemID="{58F3C001-CA9D-467B-8D86-C4EE8A728DA6}">
  <ds:schemaRefs/>
</ds:datastoreItem>
</file>

<file path=customXml/itemProps22.xml><?xml version="1.0" encoding="utf-8"?>
<ds:datastoreItem xmlns:ds="http://schemas.openxmlformats.org/officeDocument/2006/customXml" ds:itemID="{63D24275-60C0-499A-B9A6-25B3EA0B18AF}">
  <ds:schemaRefs/>
</ds:datastoreItem>
</file>

<file path=customXml/itemProps23.xml><?xml version="1.0" encoding="utf-8"?>
<ds:datastoreItem xmlns:ds="http://schemas.openxmlformats.org/officeDocument/2006/customXml" ds:itemID="{FE8C0D5C-C61C-48B5-80E4-ECABDCB605E6}">
  <ds:schemaRefs/>
</ds:datastoreItem>
</file>

<file path=customXml/itemProps24.xml><?xml version="1.0" encoding="utf-8"?>
<ds:datastoreItem xmlns:ds="http://schemas.openxmlformats.org/officeDocument/2006/customXml" ds:itemID="{4F60894C-0DE3-4189-8CA2-5338D43995EA}">
  <ds:schemaRefs/>
</ds:datastoreItem>
</file>

<file path=customXml/itemProps25.xml><?xml version="1.0" encoding="utf-8"?>
<ds:datastoreItem xmlns:ds="http://schemas.openxmlformats.org/officeDocument/2006/customXml" ds:itemID="{70AA8552-9078-43FA-8941-AB5C5E27B25B}">
  <ds:schemaRefs>
    <ds:schemaRef ds:uri="http://schemas.microsoft.com/DataMashup"/>
  </ds:schemaRefs>
</ds:datastoreItem>
</file>

<file path=customXml/itemProps26.xml><?xml version="1.0" encoding="utf-8"?>
<ds:datastoreItem xmlns:ds="http://schemas.openxmlformats.org/officeDocument/2006/customXml" ds:itemID="{35461EFC-7238-4084-A774-B943323520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Products</vt:lpstr>
      <vt:lpstr>Stores</vt:lpstr>
      <vt:lpstr>Sales_Data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t84947</dc:creator>
  <cp:lastModifiedBy>t84947</cp:lastModifiedBy>
  <dcterms:created xsi:type="dcterms:W3CDTF">2026-10-15T22:00:45Z</dcterms:created>
  <dcterms:modified xsi:type="dcterms:W3CDTF">2026-10-16T12:50:46Z</dcterms:modified>
</cp:coreProperties>
</file>